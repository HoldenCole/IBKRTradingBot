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atistics" sheetId="2" state="visible" r:id="rId2"/>
    <sheet name="Comparison" sheetId="3" state="visible" r:id="rId3"/>
    <sheet name="Projection" sheetId="4" state="visible" r:id="rId4"/>
    <sheet name="Settings" sheetId="5" state="visible" r:id="rId5"/>
    <sheet name="Data" sheetId="6" state="visible" r:id="rId6"/>
    <sheet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"/>
    <numFmt numFmtId="165" formatCode="0.0%;(0.0%)"/>
    <numFmt numFmtId="166" formatCode="0.0&quot;x&quot;"/>
    <numFmt numFmtId="167" formatCode="0.00%;(0.00%)"/>
    <numFmt numFmtId="168" formatCode="0.0"/>
  </numFmts>
  <fonts count="21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595959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C00000"/>
      <sz val="9"/>
    </font>
    <font>
      <name val="Arial"/>
      <color rgb="00008000"/>
      <sz val="10"/>
    </font>
    <font>
      <name val="Arial"/>
      <b val="1"/>
      <color rgb="00000000"/>
      <sz val="8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i val="1"/>
      <color rgb="00595959"/>
      <sz val="8"/>
    </font>
    <font>
      <name val="Arial"/>
      <b val="1"/>
      <color rgb="00FFFFFF"/>
      <sz val="8"/>
    </font>
    <font>
      <name val="Arial"/>
      <i val="1"/>
      <color rgb="00000000"/>
      <sz val="8"/>
    </font>
    <font>
      <name val="Arial"/>
      <b val="1"/>
      <color rgb="00FFFFFF"/>
      <sz val="15"/>
    </font>
    <font>
      <name val="Arial"/>
      <color rgb="00808080"/>
      <sz val="9"/>
    </font>
    <font>
      <name val="Arial"/>
      <b val="1"/>
      <color rgb="002E5395"/>
      <sz val="10"/>
    </font>
  </fonts>
  <fills count="7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8" fillId="5" borderId="0" pivotButton="0" quotePrefix="0" xfId="0"/>
    <xf numFmtId="0" fontId="1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9" fillId="0" borderId="0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2" fillId="0" borderId="0" pivotButton="0" quotePrefix="0" xfId="0"/>
    <xf numFmtId="9" fontId="19" fillId="0" borderId="0" pivotButton="0" quotePrefix="0" xfId="0"/>
    <xf numFmtId="165" fontId="19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0" fontId="14" fillId="5" borderId="0" pivotButton="0" quotePrefix="0" xfId="0"/>
    <xf numFmtId="0" fontId="12" fillId="3" borderId="0" applyAlignment="1" pivotButton="0" quotePrefix="0" xfId="0">
      <alignment horizontal="center"/>
    </xf>
    <xf numFmtId="0" fontId="4" fillId="0" borderId="0" pivotButton="0" quotePrefix="0" xfId="0"/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0" fontId="7" fillId="0" borderId="0" pivotButton="0" quotePrefix="0" xfId="0"/>
    <xf numFmtId="165" fontId="0" fillId="0" borderId="0" applyAlignment="1" pivotButton="0" quotePrefix="0" xfId="0">
      <alignment horizontal="center"/>
    </xf>
    <xf numFmtId="165" fontId="11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16" fillId="2" borderId="0" pivotButton="0" quotePrefix="0" xfId="0"/>
    <xf numFmtId="0" fontId="0" fillId="0" borderId="0" applyAlignment="1" pivotButton="0" quotePrefix="0" xfId="0">
      <alignment horizontal="center"/>
    </xf>
    <xf numFmtId="165" fontId="11" fillId="0" borderId="0" pivotButton="0" quotePrefix="0" xfId="0"/>
    <xf numFmtId="164" fontId="0" fillId="0" borderId="0" pivotButton="0" quotePrefix="0" xfId="0"/>
    <xf numFmtId="0" fontId="17" fillId="0" borderId="0" pivotButton="0" quotePrefix="0" xfId="0"/>
    <xf numFmtId="165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65" fontId="11" fillId="6" borderId="1" applyAlignment="1" pivotButton="0" quotePrefix="0" xfId="0">
      <alignment horizontal="center"/>
    </xf>
    <xf numFmtId="2" fontId="11" fillId="6" borderId="1" applyAlignment="1" pivotButton="0" quotePrefix="0" xfId="0">
      <alignment horizontal="center"/>
    </xf>
    <xf numFmtId="0" fontId="4" fillId="2" borderId="0" pivotButton="0" quotePrefix="0" xfId="0"/>
    <xf numFmtId="165" fontId="11" fillId="2" borderId="0" applyAlignment="1" pivotButton="0" quotePrefix="0" xfId="0">
      <alignment horizontal="center"/>
    </xf>
    <xf numFmtId="0" fontId="12" fillId="3" borderId="0" applyAlignment="1" pivotButton="0" quotePrefix="0" xfId="0">
      <alignment horizontal="center" wrapText="1"/>
    </xf>
    <xf numFmtId="167" fontId="0" fillId="0" borderId="0" pivotButton="0" quotePrefix="0" xfId="0"/>
    <xf numFmtId="164" fontId="0" fillId="6" borderId="0" pivotButton="0" quotePrefix="0" xfId="0"/>
    <xf numFmtId="0" fontId="20" fillId="0" borderId="0" pivotButton="0" quotePrefix="0" xfId="0"/>
    <xf numFmtId="164" fontId="1" fillId="3" borderId="0" pivotButton="0" quotePrefix="0" xfId="0"/>
    <xf numFmtId="164" fontId="11" fillId="0" borderId="0" pivotButton="0" quotePrefix="0" xfId="0"/>
    <xf numFmtId="0" fontId="8" fillId="0" borderId="0" pivotButton="0" quotePrefix="0" xfId="0"/>
    <xf numFmtId="0" fontId="13" fillId="5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8" fontId="0" fillId="0" borderId="0" pivotButton="0" quotePrefix="0" xfId="0"/>
    <xf numFmtId="0" fontId="4" fillId="3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5" fillId="0" borderId="0" pivotButton="0" quotePrefix="0" xfId="0"/>
    <xf numFmtId="165" fontId="0" fillId="0" borderId="0" pivotButton="0" quotePrefix="0" xfId="0"/>
    <xf numFmtId="164" fontId="11" fillId="0" borderId="1" applyAlignment="1" pivotButton="0" quotePrefix="0" xfId="0">
      <alignment horizontal="center"/>
    </xf>
    <xf numFmtId="167" fontId="11" fillId="0" borderId="0" pivotButton="0" quotePrefix="0" xfId="0"/>
    <xf numFmtId="0" fontId="1" fillId="0" borderId="0" pivotButton="0" quotePrefix="0" xfId="0"/>
    <xf numFmtId="167" fontId="6" fillId="0" borderId="1" pivotButton="0" quotePrefix="0" xfId="0"/>
    <xf numFmtId="165" fontId="6" fillId="0" borderId="1" pivotButton="0" quotePrefix="0" xfId="0"/>
    <xf numFmtId="0" fontId="6" fillId="0" borderId="1" pivotButton="0" quotePrefix="0" xfId="0"/>
    <xf numFmtId="0" fontId="7" fillId="0" borderId="0" applyAlignment="1" pivotButton="0" quotePrefix="0" xfId="0">
      <alignment wrapText="1"/>
    </xf>
    <xf numFmtId="164" fontId="6" fillId="4" borderId="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4" fontId="0" fillId="0" borderId="0" pivotButton="0" quotePrefix="0" xfId="0"/>
    <xf numFmtId="167" fontId="0" fillId="0" borderId="0" pivotButton="0" quotePrefix="0" xfId="0"/>
    <xf numFmtId="164" fontId="0" fillId="6" borderId="0" pivotButton="0" quotePrefix="0" xfId="0"/>
    <xf numFmtId="164" fontId="1" fillId="3" borderId="0" pivotButton="0" quotePrefix="0" xfId="0"/>
    <xf numFmtId="164" fontId="11" fillId="0" borderId="0" pivotButton="0" quotePrefix="0" xfId="0"/>
    <xf numFmtId="168" fontId="0" fillId="0" borderId="0" pivotButton="0" quotePrefix="0" xfId="0"/>
    <xf numFmtId="164" fontId="11" fillId="0" borderId="1" applyAlignment="1" pivotButton="0" quotePrefix="0" xfId="0">
      <alignment horizontal="center"/>
    </xf>
    <xf numFmtId="167" fontId="11" fillId="0" borderId="0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wealth path (expected / low / high)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'Projection'!E4</f>
            </strRef>
          </tx>
          <spPr>
            <a:ln w="20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'Projection'!$A$5:$A$484</f>
            </numRef>
          </cat>
          <val>
            <numRef>
              <f>'Projection'!$E$5:$E$484</f>
            </numRef>
          </val>
        </ser>
        <ser>
          <idx val="1"/>
          <order val="1"/>
          <tx>
            <strRef>
              <f>'Projection'!F4</f>
            </strRef>
          </tx>
          <spPr>
            <a:ln w="2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'Projection'!$A$5:$A$484</f>
            </numRef>
          </cat>
          <val>
            <numRef>
              <f>'Projection'!$F$5:$F$484</f>
            </numRef>
          </val>
        </ser>
        <ser>
          <idx val="2"/>
          <order val="2"/>
          <tx>
            <strRef>
              <f>'Projection'!G4</f>
            </strRef>
          </tx>
          <spPr>
            <a:ln w="20000">
              <a:solidFill>
                <a:srgbClr val="A6A6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'Projection'!$A$5:$A$484</f>
            </numRef>
          </cat>
          <val>
            <numRef>
              <f>'Projection'!$G$5:$G$484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Months from start (age 25 -&gt; 65)</a:t>
                </a:r>
              </a:p>
            </rich>
          </tx>
        </title>
        <majorTickMark val="none"/>
        <minorTickMark val="none"/>
        <crossAx val="100"/>
        <lblOffset val="100"/>
        <tickLblSkip val="60"/>
        <tickMarkSkip val="6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Account balance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CAGR: tiers vs benchmarks (2007–2026)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'Statistics'!B5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'Statistics'!$A$6:$A$11</f>
            </numRef>
          </cat>
          <val>
            <numRef>
              <f>'Statistics'!$B$6:$B$11</f>
            </numRef>
          </val>
        </ser>
        <dLbls>
          <numFmt formatCode="0.0%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Portfolio / benchmark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Compound annual return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After-tax balance at end age — same contributions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'Comparison'!$A$19:$A$29</f>
            </numRef>
          </cat>
          <val>
            <numRef>
              <f>'Comparison'!$F$19:$F$29</f>
            </numRef>
          </val>
        </ser>
        <dLbls>
          <numFmt formatCode="$#,##0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Strategy / benchmark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After-tax balance at end age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5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17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" customWidth="1" min="2" max="2"/>
    <col width="17" customWidth="1" min="3" max="3"/>
    <col width="2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1" t="inlineStr">
        <is>
          <t>WEALTH GLIDE PATH — QUADRANT ROTATION FRAMEWORK</t>
        </is>
      </c>
    </row>
    <row r="2">
      <c r="A2" s="2" t="inlineStr">
        <is>
          <t>Age-based risk glide with regime-conditional return engine  |  Backtest Jan 2007–Sep 2026  |  Prepared September 09, 2026  |  Forward ledger live</t>
        </is>
      </c>
    </row>
    <row r="3"/>
    <row r="4">
      <c r="A4" s="3" t="inlineStr">
        <is>
          <t>Inputs — edit yellow cells</t>
        </is>
      </c>
      <c r="B4" s="4" t="inlineStr"/>
      <c r="C4" s="4" t="inlineStr"/>
    </row>
    <row r="5">
      <c r="A5" s="5" t="inlineStr">
        <is>
          <t>Current age</t>
        </is>
      </c>
      <c r="C5" s="6" t="n">
        <v>25</v>
      </c>
    </row>
    <row r="6">
      <c r="A6" s="5" t="inlineStr">
        <is>
          <t>Target end age</t>
        </is>
      </c>
      <c r="C6" s="6" t="n">
        <v>65</v>
      </c>
    </row>
    <row r="7">
      <c r="A7" s="5" t="inlineStr">
        <is>
          <t>Starting balance ($)</t>
        </is>
      </c>
      <c r="C7" s="59" t="n">
        <v>11000</v>
      </c>
    </row>
    <row r="8">
      <c r="A8" s="5" t="inlineStr">
        <is>
          <t>Year-1 monthly contribution ($)</t>
        </is>
      </c>
      <c r="C8" s="59" t="n">
        <v>1500</v>
      </c>
    </row>
    <row r="9">
      <c r="A9" s="5" t="inlineStr">
        <is>
          <t>Contribution cap ($/mo)</t>
        </is>
      </c>
      <c r="C9" s="59" t="n">
        <v>40000</v>
      </c>
    </row>
    <row r="10">
      <c r="A10" s="5" t="inlineStr">
        <is>
          <t>Backtest return haircut</t>
        </is>
      </c>
      <c r="C10" s="8" t="n">
        <v>0.25</v>
      </c>
      <c r="D10" s="9" t="inlineStr">
        <is>
          <t>discount on backtested returns; 0% = raw backtest</t>
        </is>
      </c>
    </row>
    <row r="11">
      <c r="A11" s="5" t="inlineStr">
        <is>
          <t>ST tax rate on gains (fed+state)</t>
        </is>
      </c>
      <c r="C11" s="8" t="n">
        <v>0.24</v>
      </c>
      <c r="D11" s="9" t="inlineStr">
        <is>
          <t>rotation gains are ~all short-term (median regime 2 months) — taxed annually</t>
        </is>
      </c>
    </row>
    <row r="12">
      <c r="A12" s="5" t="inlineStr">
        <is>
          <t>LT cap-gains rate</t>
        </is>
      </c>
      <c r="C12" s="8" t="n">
        <v>0.15</v>
      </c>
      <c r="D12" s="9" t="inlineStr">
        <is>
          <t>applied to buy-and-hold benchmarks at liquidation (Comparison)</t>
        </is>
      </c>
    </row>
    <row r="13">
      <c r="A13" s="3" t="inlineStr">
        <is>
          <t>Risk glide path — choose a tier for each 5-year block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5">
        <f>"Age "&amp;($C$5+0*5)&amp;"–"&amp;($C$5+1*5)</f>
        <v/>
      </c>
      <c r="C14" s="6" t="inlineStr">
        <is>
          <t>VAGG</t>
        </is>
      </c>
      <c r="E14" s="10">
        <f>MAX(0,MIN(5,($C$6-$C$5)-0*5))/MAX(1,$C$6-$C$5)</f>
        <v/>
      </c>
      <c r="F14" s="11">
        <f>INDEX(Settings!$D$13:$D$16,MATCH($C14,Settings!$A$13:$A$16,0))</f>
        <v/>
      </c>
      <c r="G14" s="11">
        <f>INDEX(Settings!$G$13:$G$16,MATCH($C14,Settings!$A$13:$A$16,0))</f>
        <v/>
      </c>
    </row>
    <row r="15">
      <c r="A15" s="5">
        <f>"Age "&amp;($C$5+1*5)&amp;"–"&amp;($C$5+2*5)</f>
        <v/>
      </c>
      <c r="C15" s="6" t="inlineStr">
        <is>
          <t>VAGG</t>
        </is>
      </c>
      <c r="E15" s="10">
        <f>MAX(0,MIN(5,($C$6-$C$5)-1*5))/MAX(1,$C$6-$C$5)</f>
        <v/>
      </c>
      <c r="F15" s="11">
        <f>INDEX(Settings!$D$13:$D$16,MATCH($C15,Settings!$A$13:$A$16,0))</f>
        <v/>
      </c>
      <c r="G15" s="11">
        <f>INDEX(Settings!$G$13:$G$16,MATCH($C15,Settings!$A$13:$A$16,0))</f>
        <v/>
      </c>
    </row>
    <row r="16">
      <c r="A16" s="5">
        <f>"Age "&amp;($C$5+2*5)&amp;"–"&amp;($C$5+3*5)</f>
        <v/>
      </c>
      <c r="C16" s="6" t="inlineStr">
        <is>
          <t>AGG</t>
        </is>
      </c>
      <c r="E16" s="10">
        <f>MAX(0,MIN(5,($C$6-$C$5)-2*5))/MAX(1,$C$6-$C$5)</f>
        <v/>
      </c>
      <c r="F16" s="11">
        <f>INDEX(Settings!$D$13:$D$16,MATCH($C16,Settings!$A$13:$A$16,0))</f>
        <v/>
      </c>
      <c r="G16" s="11">
        <f>INDEX(Settings!$G$13:$G$16,MATCH($C16,Settings!$A$13:$A$16,0))</f>
        <v/>
      </c>
    </row>
    <row r="17">
      <c r="A17" s="5">
        <f>"Age "&amp;($C$5+3*5)&amp;"–"&amp;($C$5+4*5)</f>
        <v/>
      </c>
      <c r="C17" s="6" t="inlineStr">
        <is>
          <t>AGG</t>
        </is>
      </c>
      <c r="E17" s="10">
        <f>MAX(0,MIN(5,($C$6-$C$5)-3*5))/MAX(1,$C$6-$C$5)</f>
        <v/>
      </c>
      <c r="F17" s="11">
        <f>INDEX(Settings!$D$13:$D$16,MATCH($C17,Settings!$A$13:$A$16,0))</f>
        <v/>
      </c>
      <c r="G17" s="11">
        <f>INDEX(Settings!$G$13:$G$16,MATCH($C17,Settings!$A$13:$A$16,0))</f>
        <v/>
      </c>
    </row>
    <row r="18">
      <c r="A18" s="5">
        <f>"Age "&amp;($C$5+4*5)&amp;"–"&amp;($C$5+5*5)</f>
        <v/>
      </c>
      <c r="C18" s="6" t="inlineStr">
        <is>
          <t>MOD</t>
        </is>
      </c>
      <c r="E18" s="10">
        <f>MAX(0,MIN(5,($C$6-$C$5)-4*5))/MAX(1,$C$6-$C$5)</f>
        <v/>
      </c>
      <c r="F18" s="11">
        <f>INDEX(Settings!$D$13:$D$16,MATCH($C18,Settings!$A$13:$A$16,0))</f>
        <v/>
      </c>
      <c r="G18" s="11">
        <f>INDEX(Settings!$G$13:$G$16,MATCH($C18,Settings!$A$13:$A$16,0))</f>
        <v/>
      </c>
    </row>
    <row r="19">
      <c r="A19" s="5">
        <f>"Age "&amp;($C$5+5*5)&amp;"–"&amp;($C$5+6*5)</f>
        <v/>
      </c>
      <c r="C19" s="6" t="inlineStr">
        <is>
          <t>MOD</t>
        </is>
      </c>
      <c r="E19" s="10">
        <f>MAX(0,MIN(5,($C$6-$C$5)-5*5))/MAX(1,$C$6-$C$5)</f>
        <v/>
      </c>
      <c r="F19" s="11">
        <f>INDEX(Settings!$D$13:$D$16,MATCH($C19,Settings!$A$13:$A$16,0))</f>
        <v/>
      </c>
      <c r="G19" s="11">
        <f>INDEX(Settings!$G$13:$G$16,MATCH($C19,Settings!$A$13:$A$16,0))</f>
        <v/>
      </c>
    </row>
    <row r="20">
      <c r="A20" s="5">
        <f>"Age "&amp;($C$5+6*5)&amp;"–"&amp;($C$5+7*5)</f>
        <v/>
      </c>
      <c r="C20" s="6" t="inlineStr">
        <is>
          <t>MOD</t>
        </is>
      </c>
      <c r="E20" s="10">
        <f>MAX(0,MIN(5,($C$6-$C$5)-6*5))/MAX(1,$C$6-$C$5)</f>
        <v/>
      </c>
      <c r="F20" s="11">
        <f>INDEX(Settings!$D$13:$D$16,MATCH($C20,Settings!$A$13:$A$16,0))</f>
        <v/>
      </c>
      <c r="G20" s="11">
        <f>INDEX(Settings!$G$13:$G$16,MATCH($C20,Settings!$A$13:$A$16,0))</f>
        <v/>
      </c>
    </row>
    <row r="21">
      <c r="A21" s="5">
        <f>"Age "&amp;($C$5+7*5)&amp;"–"&amp;($C$5+8*5)</f>
        <v/>
      </c>
      <c r="C21" s="6" t="inlineStr">
        <is>
          <t>CONS</t>
        </is>
      </c>
      <c r="E21" s="10">
        <f>MAX(0,MIN(5,($C$6-$C$5)-7*5))/MAX(1,$C$6-$C$5)</f>
        <v/>
      </c>
      <c r="F21" s="11">
        <f>INDEX(Settings!$D$13:$D$16,MATCH($C21,Settings!$A$13:$A$16,0))</f>
        <v/>
      </c>
      <c r="G21" s="11">
        <f>INDEX(Settings!$G$13:$G$16,MATCH($C21,Settings!$A$13:$A$16,0))</f>
        <v/>
      </c>
    </row>
    <row r="22">
      <c r="A22" s="9" t="inlineStr">
        <is>
          <t>Default glide: VAGG to 35, AGG to 45, MOD to 60, CONS to 65. Grey columns = weight in horizon / tier stats (used by Statistics).</t>
        </is>
      </c>
    </row>
    <row r="24">
      <c r="A24" s="3" t="inlineStr">
        <is>
          <t>Outcome (after-tax, after-haircut)</t>
        </is>
      </c>
      <c r="B24" s="4" t="inlineStr"/>
      <c r="C24" s="4" t="inlineStr"/>
    </row>
    <row r="25">
      <c r="A25" s="5" t="inlineStr">
        <is>
          <t>Current tier / net growth rate</t>
        </is>
      </c>
      <c r="C25" s="12">
        <f>$C$14&amp;"  ·  "&amp;TEXT($F$14,"0.0%")&amp;"/yr"</f>
        <v/>
      </c>
    </row>
    <row r="26">
      <c r="A26" s="5" t="inlineStr">
        <is>
          <t>Current monthly contribution</t>
        </is>
      </c>
      <c r="C26" s="60">
        <f>MIN($C$9,Settings!$B$19)</f>
        <v/>
      </c>
    </row>
    <row r="27">
      <c r="A27" s="5" t="inlineStr">
        <is>
          <t>Expected balance at end age</t>
        </is>
      </c>
      <c r="C27" s="60">
        <f>INDEX(Projection!$E:$E,(($C$6-$C$5)*12)+4)</f>
        <v/>
      </c>
    </row>
    <row r="28">
      <c r="A28" s="5" t="inlineStr">
        <is>
          <t>Low / High (±1 s.e.)</t>
        </is>
      </c>
      <c r="C28" s="12">
        <f>TEXT(INDEX(Projection!$F:$F,(($C$6-$C$5)*12)+4),"$#,##0")&amp;"  /  "&amp;TEXT(INDEX(Projection!$G:$G,(($C$6-$C$5)*12)+4),"$#,##0")</f>
        <v/>
      </c>
    </row>
    <row r="29">
      <c r="A29" s="5" t="inlineStr">
        <is>
          <t>Total contributed</t>
        </is>
      </c>
      <c r="C29" s="60">
        <f>$C$7+SUM(Projection!$D$5:INDEX(Projection!$D:$D,(($C$6-$C$5)*12)+4))</f>
        <v/>
      </c>
    </row>
    <row r="30">
      <c r="A30" s="5" t="inlineStr">
        <is>
          <t>Investment growth</t>
        </is>
      </c>
      <c r="C30" s="60">
        <f>C27-C29</f>
        <v/>
      </c>
    </row>
    <row r="31">
      <c r="A31" s="5" t="inlineStr">
        <is>
          <t>Wealth multiple (balance / contributed)</t>
        </is>
      </c>
      <c r="C31" s="61">
        <f>IF(C29=0,0,C27/C29)</f>
        <v/>
      </c>
    </row>
    <row r="33">
      <c r="A33" s="2" t="inlineStr">
        <is>
          <t>Backtest-derived planning model; pending forward validation (paper ledger). Deep statistics on the next sheet. Not investment advice.</t>
        </is>
      </c>
    </row>
  </sheetData>
  <mergeCells count="3">
    <mergeCell ref="A1:J1"/>
    <mergeCell ref="A33:J33"/>
    <mergeCell ref="A2:J2"/>
  </mergeCells>
  <dataValidations count="1">
    <dataValidation sqref="C14 C15 C16 C17 C18 C19 C20 C21" showDropDown="0" showInputMessage="0" showErrorMessage="0" allowBlank="0" type="list">
      <formula1>"CONS,MOD,AGG,VAGG"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5395"/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5" t="inlineStr">
        <is>
          <t>DEEP STATISTICS — BACKTEST EVIDENCE &amp; REGIME ANALYTICS</t>
        </is>
      </c>
    </row>
    <row r="2">
      <c r="A2" s="2" t="inlineStr">
        <is>
          <t>Matrix v9 (gold instrument by regime — bullion in Reflation, miners in Deflation for AGG/VAGG; AGG Reflation leverage on the energy leg; conditional-duration S, washout-conditional rebound slice, R momentum tilt, regime-gated short book behind a global include-shorts switch), monthly-only execution — intra-month mechanisms tested and rejected under honest T+1 modeling. Leveraged instruments simulated pre-2010. Out-of-sample framework validation: 1987-2007 replication. Forward: paper/ledger.csv.</t>
        </is>
      </c>
    </row>
    <row r="4">
      <c r="A4" s="3" t="inlineStr">
        <is>
          <t>1 · Full-period &amp; crisis-year performance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16" t="inlineStr">
        <is>
          <t>Strategy</t>
        </is>
      </c>
      <c r="B5" s="16" t="inlineStr">
        <is>
          <t>CAGR</t>
        </is>
      </c>
      <c r="C5" s="16" t="inlineStr">
        <is>
          <t>Sortino</t>
        </is>
      </c>
      <c r="D5" s="16" t="inlineStr">
        <is>
          <t>Sharpe</t>
        </is>
      </c>
      <c r="E5" s="16" t="inlineStr">
        <is>
          <t>Max DD</t>
        </is>
      </c>
      <c r="F5" s="16" t="inlineStr">
        <is>
          <t>Beta</t>
        </is>
      </c>
      <c r="G5" s="16" t="inlineStr">
        <is>
          <t>2008</t>
        </is>
      </c>
      <c r="H5" s="16" t="inlineStr">
        <is>
          <t>2020</t>
        </is>
      </c>
      <c r="I5" s="16" t="inlineStr">
        <is>
          <t>2022</t>
        </is>
      </c>
      <c r="J5" s="16" t="inlineStr">
        <is>
          <t>2025</t>
        </is>
      </c>
      <c r="K5" s="16" t="inlineStr">
        <is>
          <t>2026 YTD</t>
        </is>
      </c>
    </row>
    <row r="6">
      <c r="A6" s="17" t="inlineStr">
        <is>
          <t>CONS</t>
        </is>
      </c>
      <c r="B6" s="18" t="n">
        <v>0.09810000000000001</v>
      </c>
      <c r="C6" s="19" t="n">
        <v>1.6213</v>
      </c>
      <c r="D6" s="19" t="n">
        <v>1.1678</v>
      </c>
      <c r="E6" s="18" t="n">
        <v>-0.1021</v>
      </c>
      <c r="F6" s="19" t="n">
        <v>0.1699</v>
      </c>
      <c r="G6" s="18" t="n">
        <v>0.1382</v>
      </c>
      <c r="H6" s="18" t="n">
        <v>0.1297</v>
      </c>
      <c r="I6" s="18" t="n">
        <v>0.0187</v>
      </c>
      <c r="J6" s="18" t="n">
        <v>0.2063</v>
      </c>
      <c r="K6" s="18" t="n">
        <v>0.1358</v>
      </c>
    </row>
    <row r="7">
      <c r="A7" s="17" t="inlineStr">
        <is>
          <t>MOD</t>
        </is>
      </c>
      <c r="B7" s="20" t="n">
        <v>0.1543</v>
      </c>
      <c r="C7" s="21" t="n">
        <v>1.7335</v>
      </c>
      <c r="D7" s="21" t="n">
        <v>1.2537</v>
      </c>
      <c r="E7" s="20" t="n">
        <v>-0.1433</v>
      </c>
      <c r="F7" s="21" t="n">
        <v>0.3303</v>
      </c>
      <c r="G7" s="20" t="n">
        <v>0.1463</v>
      </c>
      <c r="H7" s="20" t="n">
        <v>0.2998</v>
      </c>
      <c r="I7" s="20" t="n">
        <v>0.0115</v>
      </c>
      <c r="J7" s="20" t="n">
        <v>0.3012</v>
      </c>
      <c r="K7" s="20" t="n">
        <v>0.1986</v>
      </c>
    </row>
    <row r="8">
      <c r="A8" s="17" t="inlineStr">
        <is>
          <t>AGG</t>
        </is>
      </c>
      <c r="B8" s="18" t="n">
        <v>0.2728</v>
      </c>
      <c r="C8" s="19" t="n">
        <v>1.4118</v>
      </c>
      <c r="D8" s="19" t="n">
        <v>1.0856</v>
      </c>
      <c r="E8" s="18" t="n">
        <v>-0.3315</v>
      </c>
      <c r="F8" s="19" t="n">
        <v>0.6431</v>
      </c>
      <c r="G8" s="18" t="n">
        <v>0.3462</v>
      </c>
      <c r="H8" s="18" t="n">
        <v>0.867</v>
      </c>
      <c r="I8" s="18" t="n">
        <v>-0.0931</v>
      </c>
      <c r="J8" s="18" t="n">
        <v>0.4396</v>
      </c>
      <c r="K8" s="18" t="n">
        <v>0.3178</v>
      </c>
    </row>
    <row r="9">
      <c r="A9" s="17" t="inlineStr">
        <is>
          <t>VAGG</t>
        </is>
      </c>
      <c r="B9" s="20" t="n">
        <v>0.3532</v>
      </c>
      <c r="C9" s="21" t="n">
        <v>1.22</v>
      </c>
      <c r="D9" s="21" t="n">
        <v>0.9646</v>
      </c>
      <c r="E9" s="20" t="n">
        <v>-0.4682</v>
      </c>
      <c r="F9" s="21" t="n">
        <v>1.0242</v>
      </c>
      <c r="G9" s="20" t="n">
        <v>0.4413</v>
      </c>
      <c r="H9" s="20" t="n">
        <v>1.402</v>
      </c>
      <c r="I9" s="20" t="n">
        <v>-0.3106</v>
      </c>
      <c r="J9" s="20" t="n">
        <v>0.4968</v>
      </c>
      <c r="K9" s="20" t="n">
        <v>0.3254</v>
      </c>
    </row>
    <row r="10">
      <c r="A10" s="22" t="inlineStr">
        <is>
          <t>SPY B&amp;H</t>
        </is>
      </c>
      <c r="B10" s="18" t="n">
        <v>0.1098</v>
      </c>
      <c r="C10" s="19" t="n">
        <v>0.6869</v>
      </c>
      <c r="D10" s="19" t="n">
        <v>0.5612</v>
      </c>
      <c r="E10" s="18" t="n">
        <v>-0.5518999999999999</v>
      </c>
      <c r="F10" s="19" t="n">
        <v>1</v>
      </c>
      <c r="G10" s="18" t="n">
        <v>-0.3679</v>
      </c>
      <c r="H10" s="18" t="n">
        <v>0.1833</v>
      </c>
      <c r="I10" s="18" t="n">
        <v>-0.1818</v>
      </c>
      <c r="J10" s="18" t="n">
        <v>0.1772</v>
      </c>
      <c r="K10" s="18" t="n">
        <v>0.1347</v>
      </c>
    </row>
    <row r="11">
      <c r="A11" s="22" t="inlineStr">
        <is>
          <t>QQQ B&amp;H</t>
        </is>
      </c>
      <c r="B11" s="18" t="n">
        <v>0.1645</v>
      </c>
      <c r="C11" s="19" t="n">
        <v>0.9613</v>
      </c>
      <c r="D11" s="19" t="n">
        <v>0.7405</v>
      </c>
      <c r="E11" s="18" t="n">
        <v>-0.534</v>
      </c>
      <c r="F11" s="19" t="n">
        <v>1.0473</v>
      </c>
      <c r="G11" s="18" t="n">
        <v>-0.4173</v>
      </c>
      <c r="H11" s="18" t="n">
        <v>0.4841</v>
      </c>
      <c r="I11" s="18" t="n">
        <v>-0.3258</v>
      </c>
      <c r="J11" s="18" t="n">
        <v>0.2077</v>
      </c>
      <c r="K11" s="18" t="n">
        <v>0.2085</v>
      </c>
    </row>
    <row r="13">
      <c r="A13" s="3" t="inlineStr">
        <is>
          <t>2 · Annualized return by tier × regime (conditional)</t>
        </is>
      </c>
      <c r="B13" s="4" t="inlineStr"/>
      <c r="C13" s="4" t="inlineStr"/>
      <c r="D13" s="4" t="inlineStr"/>
      <c r="E13" s="4" t="inlineStr"/>
      <c r="F13" s="4" t="inlineStr"/>
    </row>
    <row r="14">
      <c r="B14" s="16" t="inlineStr">
        <is>
          <t>Growth</t>
        </is>
      </c>
      <c r="C14" s="16" t="inlineStr">
        <is>
          <t>Reflation</t>
        </is>
      </c>
      <c r="D14" s="16" t="inlineStr">
        <is>
          <t>Stagflation</t>
        </is>
      </c>
      <c r="E14" s="16" t="inlineStr">
        <is>
          <t>Deflation</t>
        </is>
      </c>
      <c r="F14" s="16" t="inlineStr">
        <is>
          <t>Blended (mix)</t>
        </is>
      </c>
    </row>
    <row r="15">
      <c r="A15" s="17" t="inlineStr">
        <is>
          <t>CONS</t>
        </is>
      </c>
      <c r="B15" s="23">
        <f>(1+Data!B6)^12-1</f>
        <v/>
      </c>
      <c r="C15" s="23">
        <f>(1+Data!C6)^12-1</f>
        <v/>
      </c>
      <c r="D15" s="23">
        <f>(1+Data!D6)^12-1</f>
        <v/>
      </c>
      <c r="E15" s="23">
        <f>(1+Data!E6)^12-1</f>
        <v/>
      </c>
      <c r="F15" s="24">
        <f>Settings!C13</f>
        <v/>
      </c>
    </row>
    <row r="16">
      <c r="A16" s="17" t="inlineStr">
        <is>
          <t>MOD</t>
        </is>
      </c>
      <c r="B16" s="23">
        <f>(1+Data!B7)^12-1</f>
        <v/>
      </c>
      <c r="C16" s="23">
        <f>(1+Data!C7)^12-1</f>
        <v/>
      </c>
      <c r="D16" s="23">
        <f>(1+Data!D7)^12-1</f>
        <v/>
      </c>
      <c r="E16" s="23">
        <f>(1+Data!E7)^12-1</f>
        <v/>
      </c>
      <c r="F16" s="24">
        <f>Settings!C14</f>
        <v/>
      </c>
    </row>
    <row r="17">
      <c r="A17" s="17" t="inlineStr">
        <is>
          <t>AGG</t>
        </is>
      </c>
      <c r="B17" s="23">
        <f>(1+Data!B8)^12-1</f>
        <v/>
      </c>
      <c r="C17" s="23">
        <f>(1+Data!C8)^12-1</f>
        <v/>
      </c>
      <c r="D17" s="23">
        <f>(1+Data!D8)^12-1</f>
        <v/>
      </c>
      <c r="E17" s="23">
        <f>(1+Data!E8)^12-1</f>
        <v/>
      </c>
      <c r="F17" s="24">
        <f>Settings!C15</f>
        <v/>
      </c>
    </row>
    <row r="18">
      <c r="A18" s="17" t="inlineStr">
        <is>
          <t>VAGG</t>
        </is>
      </c>
      <c r="B18" s="23">
        <f>(1+Data!B9)^12-1</f>
        <v/>
      </c>
      <c r="C18" s="23">
        <f>(1+Data!C9)^12-1</f>
        <v/>
      </c>
      <c r="D18" s="23">
        <f>(1+Data!D9)^12-1</f>
        <v/>
      </c>
      <c r="E18" s="23">
        <f>(1+Data!E9)^12-1</f>
        <v/>
      </c>
      <c r="F18" s="24">
        <f>Settings!C16</f>
        <v/>
      </c>
    </row>
    <row r="20">
      <c r="A20" s="3" t="inlineStr">
        <is>
          <t>3 · In-regime Sharpe by tier × regime</t>
        </is>
      </c>
      <c r="B20" s="4" t="inlineStr"/>
      <c r="C20" s="4" t="inlineStr"/>
      <c r="D20" s="4" t="inlineStr"/>
      <c r="E20" s="4" t="inlineStr"/>
      <c r="F20" s="4" t="inlineStr"/>
    </row>
    <row r="21">
      <c r="B21" s="16" t="inlineStr">
        <is>
          <t>Growth</t>
        </is>
      </c>
      <c r="C21" s="16" t="inlineStr">
        <is>
          <t>Reflation</t>
        </is>
      </c>
      <c r="D21" s="16" t="inlineStr">
        <is>
          <t>Stagflation</t>
        </is>
      </c>
      <c r="E21" s="16" t="inlineStr">
        <is>
          <t>Deflation</t>
        </is>
      </c>
    </row>
    <row r="22">
      <c r="A22" s="17" t="inlineStr">
        <is>
          <t>CONS</t>
        </is>
      </c>
      <c r="B22" s="25">
        <f>IF(Data!B13=0,0,((1+Data!B6)^12-1-Data!$B$23)/(Data!B13*SQRT(12)))</f>
        <v/>
      </c>
      <c r="C22" s="25">
        <f>IF(Data!C13=0,0,((1+Data!C6)^12-1-Data!$B$23)/(Data!C13*SQRT(12)))</f>
        <v/>
      </c>
      <c r="D22" s="25">
        <f>IF(Data!D13=0,0,((1+Data!D6)^12-1-Data!$B$23)/(Data!D13*SQRT(12)))</f>
        <v/>
      </c>
      <c r="E22" s="25">
        <f>IF(Data!E13=0,0,((1+Data!E6)^12-1-Data!$B$23)/(Data!E13*SQRT(12)))</f>
        <v/>
      </c>
    </row>
    <row r="23">
      <c r="A23" s="17" t="inlineStr">
        <is>
          <t>MOD</t>
        </is>
      </c>
      <c r="B23" s="25">
        <f>IF(Data!B14=0,0,((1+Data!B7)^12-1-Data!$B$23)/(Data!B14*SQRT(12)))</f>
        <v/>
      </c>
      <c r="C23" s="25">
        <f>IF(Data!C14=0,0,((1+Data!C7)^12-1-Data!$B$23)/(Data!C14*SQRT(12)))</f>
        <v/>
      </c>
      <c r="D23" s="25">
        <f>IF(Data!D14=0,0,((1+Data!D7)^12-1-Data!$B$23)/(Data!D14*SQRT(12)))</f>
        <v/>
      </c>
      <c r="E23" s="25">
        <f>IF(Data!E14=0,0,((1+Data!E7)^12-1-Data!$B$23)/(Data!E14*SQRT(12)))</f>
        <v/>
      </c>
    </row>
    <row r="24">
      <c r="A24" s="17" t="inlineStr">
        <is>
          <t>AGG</t>
        </is>
      </c>
      <c r="B24" s="25">
        <f>IF(Data!B15=0,0,((1+Data!B8)^12-1-Data!$B$23)/(Data!B15*SQRT(12)))</f>
        <v/>
      </c>
      <c r="C24" s="25">
        <f>IF(Data!C15=0,0,((1+Data!C8)^12-1-Data!$B$23)/(Data!C15*SQRT(12)))</f>
        <v/>
      </c>
      <c r="D24" s="25">
        <f>IF(Data!D15=0,0,((1+Data!D8)^12-1-Data!$B$23)/(Data!D15*SQRT(12)))</f>
        <v/>
      </c>
      <c r="E24" s="25">
        <f>IF(Data!E15=0,0,((1+Data!E8)^12-1-Data!$B$23)/(Data!E15*SQRT(12)))</f>
        <v/>
      </c>
    </row>
    <row r="25">
      <c r="A25" s="17" t="inlineStr">
        <is>
          <t>VAGG</t>
        </is>
      </c>
      <c r="B25" s="25">
        <f>IF(Data!B16=0,0,((1+Data!B9)^12-1-Data!$B$23)/(Data!B16*SQRT(12)))</f>
        <v/>
      </c>
      <c r="C25" s="25">
        <f>IF(Data!C16=0,0,((1+Data!C9)^12-1-Data!$B$23)/(Data!C16*SQRT(12)))</f>
        <v/>
      </c>
      <c r="D25" s="25">
        <f>IF(Data!D16=0,0,((1+Data!D9)^12-1-Data!$B$23)/(Data!D16*SQRT(12)))</f>
        <v/>
      </c>
      <c r="E25" s="25">
        <f>IF(Data!E16=0,0,((1+Data!E9)^12-1-Data!$B$23)/(Data!E16*SQRT(12)))</f>
        <v/>
      </c>
    </row>
    <row r="27">
      <c r="A27" s="3" t="inlineStr">
        <is>
          <t>4 · Regime structure</t>
        </is>
      </c>
      <c r="B27" s="26" t="inlineStr">
        <is>
          <t>Growth</t>
        </is>
      </c>
      <c r="C27" s="26" t="inlineStr">
        <is>
          <t>Reflation</t>
        </is>
      </c>
      <c r="D27" s="26" t="inlineStr">
        <is>
          <t>Stagflation</t>
        </is>
      </c>
      <c r="E27" s="26" t="inlineStr">
        <is>
          <t>Deflation</t>
        </is>
      </c>
      <c r="F27" s="4" t="inlineStr"/>
    </row>
    <row r="28">
      <c r="A28" s="22" t="inlineStr">
        <is>
          <t>Share of months</t>
        </is>
      </c>
      <c r="B28" s="23">
        <f>Data!B20</f>
        <v/>
      </c>
      <c r="C28" s="23">
        <f>Data!C20</f>
        <v/>
      </c>
      <c r="D28" s="23">
        <f>Data!D20</f>
        <v/>
      </c>
      <c r="E28" s="23">
        <f>Data!E20</f>
        <v/>
      </c>
    </row>
    <row r="29">
      <c r="A29" s="22" t="inlineStr">
        <is>
          <t>Avg duration (months)</t>
        </is>
      </c>
      <c r="B29" s="27">
        <f>Data!B21</f>
        <v/>
      </c>
      <c r="C29" s="27">
        <f>Data!C21</f>
        <v/>
      </c>
      <c r="D29" s="27">
        <f>Data!D21</f>
        <v/>
      </c>
      <c r="E29" s="27">
        <f>Data!E21</f>
        <v/>
      </c>
    </row>
    <row r="31">
      <c r="A31" s="3" t="inlineStr">
        <is>
          <t>5 · Outcome distribution at end age (glide-weighted approximation)</t>
        </is>
      </c>
      <c r="B31" s="4" t="inlineStr"/>
      <c r="C31" s="4" t="inlineStr"/>
      <c r="D31" s="4" t="inlineStr"/>
      <c r="E31" s="4" t="inlineStr"/>
    </row>
    <row r="32">
      <c r="A32" s="22" t="inlineStr">
        <is>
          <t>Glide-weighted annual return (after-tax)</t>
        </is>
      </c>
      <c r="B32" s="28">
        <f>SUMPRODUCT(Dashboard!$E$14:$E$21,Dashboard!$F$14:$F$21)</f>
        <v/>
      </c>
    </row>
    <row r="33">
      <c r="A33" s="22" t="inlineStr">
        <is>
          <t>Glide-weighted annual sd</t>
        </is>
      </c>
      <c r="B33" s="28">
        <f>SUMPRODUCT(Dashboard!$E$14:$E$21,Dashboard!$G$14:$G$21)</f>
        <v/>
      </c>
    </row>
    <row r="35">
      <c r="A35" s="16" t="inlineStr">
        <is>
          <t>Percentile</t>
        </is>
      </c>
      <c r="B35" s="16" t="inlineStr">
        <is>
          <t>z</t>
        </is>
      </c>
      <c r="C35" s="16" t="inlineStr">
        <is>
          <t>Annual rate</t>
        </is>
      </c>
      <c r="D35" s="16" t="inlineStr">
        <is>
          <t>Final balance (approx)</t>
        </is>
      </c>
    </row>
    <row r="36">
      <c r="A36" s="22" t="inlineStr">
        <is>
          <t>P10</t>
        </is>
      </c>
      <c r="B36" s="25" t="n">
        <v>-1.2816</v>
      </c>
      <c r="C36" s="23">
        <f>$B$32+B36*$B$33/SQRT(MAX(1,Settings!$B$9))</f>
        <v/>
      </c>
      <c r="D36" s="62">
        <f>IF(ABS(((1+C36)^(1/12)-1)-Settings!$B$60)&lt;0.000001,Dashboard!$C$7*(1+((1+C36)^(1/12)-1))^(Settings!$B$9*12)+Dashboard!$C$8*(Settings!$B$9*12)*(1+((1+C36)^(1/12)-1))^((Settings!$B$9*12)-1),Dashboard!$C$7*(1+((1+C36)^(1/12)-1))^(Settings!$B$9*12)+Dashboard!$C$8*(((1+((1+C36)^(1/12)-1))^(Settings!$B$9*12))-((1+Settings!$B$60)^(Settings!$B$9*12)))/(((1+C36)^(1/12)-1)-Settings!$B$60))</f>
        <v/>
      </c>
    </row>
    <row r="37">
      <c r="A37" s="22" t="inlineStr">
        <is>
          <t>P25</t>
        </is>
      </c>
      <c r="B37" s="25" t="n">
        <v>-0.6745</v>
      </c>
      <c r="C37" s="23">
        <f>$B$32+B37*$B$33/SQRT(MAX(1,Settings!$B$9))</f>
        <v/>
      </c>
      <c r="D37" s="62">
        <f>IF(ABS(((1+C37)^(1/12)-1)-Settings!$B$60)&lt;0.000001,Dashboard!$C$7*(1+((1+C37)^(1/12)-1))^(Settings!$B$9*12)+Dashboard!$C$8*(Settings!$B$9*12)*(1+((1+C37)^(1/12)-1))^((Settings!$B$9*12)-1),Dashboard!$C$7*(1+((1+C37)^(1/12)-1))^(Settings!$B$9*12)+Dashboard!$C$8*(((1+((1+C37)^(1/12)-1))^(Settings!$B$9*12))-((1+Settings!$B$60)^(Settings!$B$9*12)))/(((1+C37)^(1/12)-1)-Settings!$B$60))</f>
        <v/>
      </c>
    </row>
    <row r="38">
      <c r="A38" s="22" t="inlineStr">
        <is>
          <t>P50 (median)</t>
        </is>
      </c>
      <c r="B38" s="25" t="n">
        <v>0</v>
      </c>
      <c r="C38" s="23">
        <f>$B$32+B38*$B$33/SQRT(MAX(1,Settings!$B$9))</f>
        <v/>
      </c>
      <c r="D38" s="62">
        <f>IF(ABS(((1+C38)^(1/12)-1)-Settings!$B$60)&lt;0.000001,Dashboard!$C$7*(1+((1+C38)^(1/12)-1))^(Settings!$B$9*12)+Dashboard!$C$8*(Settings!$B$9*12)*(1+((1+C38)^(1/12)-1))^((Settings!$B$9*12)-1),Dashboard!$C$7*(1+((1+C38)^(1/12)-1))^(Settings!$B$9*12)+Dashboard!$C$8*(((1+((1+C38)^(1/12)-1))^(Settings!$B$9*12))-((1+Settings!$B$60)^(Settings!$B$9*12)))/(((1+C38)^(1/12)-1)-Settings!$B$60))</f>
        <v/>
      </c>
    </row>
    <row r="39">
      <c r="A39" s="22" t="inlineStr">
        <is>
          <t>P75</t>
        </is>
      </c>
      <c r="B39" s="25" t="n">
        <v>0.6745</v>
      </c>
      <c r="C39" s="23">
        <f>$B$32+B39*$B$33/SQRT(MAX(1,Settings!$B$9))</f>
        <v/>
      </c>
      <c r="D39" s="62">
        <f>IF(ABS(((1+C39)^(1/12)-1)-Settings!$B$60)&lt;0.000001,Dashboard!$C$7*(1+((1+C39)^(1/12)-1))^(Settings!$B$9*12)+Dashboard!$C$8*(Settings!$B$9*12)*(1+((1+C39)^(1/12)-1))^((Settings!$B$9*12)-1),Dashboard!$C$7*(1+((1+C39)^(1/12)-1))^(Settings!$B$9*12)+Dashboard!$C$8*(((1+((1+C39)^(1/12)-1))^(Settings!$B$9*12))-((1+Settings!$B$60)^(Settings!$B$9*12)))/(((1+C39)^(1/12)-1)-Settings!$B$60))</f>
        <v/>
      </c>
    </row>
    <row r="40">
      <c r="A40" s="22" t="inlineStr">
        <is>
          <t>P90</t>
        </is>
      </c>
      <c r="B40" s="25" t="n">
        <v>1.2816</v>
      </c>
      <c r="C40" s="23">
        <f>$B$32+B40*$B$33/SQRT(MAX(1,Settings!$B$9))</f>
        <v/>
      </c>
      <c r="D40" s="62">
        <f>IF(ABS(((1+C40)^(1/12)-1)-Settings!$B$60)&lt;0.000001,Dashboard!$C$7*(1+((1+C40)^(1/12)-1))^(Settings!$B$9*12)+Dashboard!$C$8*(Settings!$B$9*12)*(1+((1+C40)^(1/12)-1))^((Settings!$B$9*12)-1),Dashboard!$C$7*(1+((1+C40)^(1/12)-1))^(Settings!$B$9*12)+Dashboard!$C$8*(((1+((1+C40)^(1/12)-1))^(Settings!$B$9*12))-((1+Settings!$B$60)^(Settings!$B$9*12)))/(((1+C40)^(1/12)-1)-Settings!$B$60))</f>
        <v/>
      </c>
    </row>
    <row r="42">
      <c r="A42" s="30" t="inlineStr">
        <is>
          <t>Percentiles band the average growth rate; within-horizon drawdowns exceed these paths (see Max DD above). Contribution schedule approximated as smooth growth, cap ignored — Projection is exact.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5" t="inlineStr">
        <is>
          <t>COMPARISON — COMMON PORTFOLIOS VS THE GLIDE PATH</t>
        </is>
      </c>
    </row>
    <row r="2">
      <c r="A2" s="2" t="inlineStr">
        <is>
          <t>Identical window (Jan 2007–Sep 2026), dividends included. Benchmark stats are data (blue); tier rows link to Statistics (green).</t>
        </is>
      </c>
    </row>
    <row r="4">
      <c r="A4" s="3" t="inlineStr">
        <is>
          <t>1 · Historical risk &amp; return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16" t="inlineStr">
        <is>
          <t>Portfolio</t>
        </is>
      </c>
      <c r="B5" s="16" t="inlineStr">
        <is>
          <t>CAGR</t>
        </is>
      </c>
      <c r="C5" s="16" t="inlineStr">
        <is>
          <t>Sortino</t>
        </is>
      </c>
      <c r="D5" s="16" t="inlineStr">
        <is>
          <t>Sharpe</t>
        </is>
      </c>
      <c r="E5" s="16" t="inlineStr">
        <is>
          <t>Max DD</t>
        </is>
      </c>
      <c r="F5" s="16" t="inlineStr">
        <is>
          <t>Beta</t>
        </is>
      </c>
      <c r="G5" s="16" t="inlineStr">
        <is>
          <t>2008</t>
        </is>
      </c>
      <c r="H5" s="16" t="inlineStr">
        <is>
          <t>2022</t>
        </is>
      </c>
    </row>
    <row r="6">
      <c r="A6" s="22" t="inlineStr">
        <is>
          <t>S&amp;P 500 (SPY)</t>
        </is>
      </c>
      <c r="B6" s="31" t="n">
        <v>0.1098</v>
      </c>
      <c r="C6" s="32" t="n">
        <v>0.6899999999999999</v>
      </c>
      <c r="D6" s="32" t="n">
        <v>0.5600000000000001</v>
      </c>
      <c r="E6" s="31" t="n">
        <v>-0.5518999999999999</v>
      </c>
      <c r="F6" s="32" t="n">
        <v>1</v>
      </c>
      <c r="G6" s="31" t="n">
        <v>-0.3679</v>
      </c>
      <c r="H6" s="31" t="n">
        <v>-0.1818</v>
      </c>
    </row>
    <row r="7">
      <c r="A7" s="22" t="inlineStr">
        <is>
          <t>Nasdaq 100 (QQQ)</t>
        </is>
      </c>
      <c r="B7" s="31" t="n">
        <v>0.1645</v>
      </c>
      <c r="C7" s="32" t="n">
        <v>0.96</v>
      </c>
      <c r="D7" s="32" t="n">
        <v>0.74</v>
      </c>
      <c r="E7" s="31" t="n">
        <v>-0.534</v>
      </c>
      <c r="F7" s="32" t="n">
        <v>1.05</v>
      </c>
      <c r="G7" s="31" t="n">
        <v>-0.4173</v>
      </c>
      <c r="H7" s="31" t="n">
        <v>-0.3258</v>
      </c>
    </row>
    <row r="8">
      <c r="A8" s="22" t="inlineStr">
        <is>
          <t>Dow Jones (DIA)</t>
        </is>
      </c>
      <c r="B8" s="31" t="n">
        <v>0.0978</v>
      </c>
      <c r="C8" s="32" t="n">
        <v>0.64</v>
      </c>
      <c r="D8" s="32" t="n">
        <v>0.51</v>
      </c>
      <c r="E8" s="31" t="n">
        <v>-0.5187</v>
      </c>
      <c r="F8" s="32" t="n">
        <v>0.92</v>
      </c>
      <c r="G8" s="31" t="n">
        <v>-0.3214</v>
      </c>
      <c r="H8" s="31" t="n">
        <v>-0.0702</v>
      </c>
    </row>
    <row r="9">
      <c r="A9" s="22" t="inlineStr">
        <is>
          <t>60/40 (SPY/AGG)</t>
        </is>
      </c>
      <c r="B9" s="31" t="n">
        <v>0.08169999999999999</v>
      </c>
      <c r="C9" s="32" t="n">
        <v>0.73</v>
      </c>
      <c r="D9" s="32" t="n">
        <v>0.59</v>
      </c>
      <c r="E9" s="31" t="n">
        <v>-0.347</v>
      </c>
      <c r="F9" s="32" t="n">
        <v>0.6</v>
      </c>
      <c r="G9" s="31" t="n">
        <v>-0.1997</v>
      </c>
      <c r="H9" s="31" t="n">
        <v>-0.1562</v>
      </c>
    </row>
    <row r="10">
      <c r="A10" s="22" t="inlineStr">
        <is>
          <t>All bonds (AGG)</t>
        </is>
      </c>
      <c r="B10" s="31" t="n">
        <v>0.0298</v>
      </c>
      <c r="C10" s="32" t="n">
        <v>0.36</v>
      </c>
      <c r="D10" s="32" t="n">
        <v>0.3</v>
      </c>
      <c r="E10" s="31" t="n">
        <v>-0.1843</v>
      </c>
      <c r="F10" s="32" t="n">
        <v>0</v>
      </c>
      <c r="G10" s="31" t="n">
        <v>0.079</v>
      </c>
      <c r="H10" s="31" t="n">
        <v>-0.1302</v>
      </c>
    </row>
    <row r="11">
      <c r="A11" s="22" t="inlineStr">
        <is>
          <t>Gold (GLD)</t>
        </is>
      </c>
      <c r="B11" s="31" t="n">
        <v>0.0998</v>
      </c>
      <c r="C11" s="32" t="n">
        <v>0.71</v>
      </c>
      <c r="D11" s="32" t="n">
        <v>0.53</v>
      </c>
      <c r="E11" s="31" t="n">
        <v>-0.4556</v>
      </c>
      <c r="F11" s="32" t="n">
        <v>0.05</v>
      </c>
      <c r="G11" s="31" t="n">
        <v>0.0492</v>
      </c>
      <c r="H11" s="31" t="n">
        <v>-0.0077</v>
      </c>
    </row>
    <row r="12">
      <c r="A12" s="17" t="inlineStr">
        <is>
          <t>Rotation CONS</t>
        </is>
      </c>
      <c r="B12" s="33">
        <f>Statistics!B6</f>
        <v/>
      </c>
      <c r="C12" s="34">
        <f>Statistics!C6</f>
        <v/>
      </c>
      <c r="D12" s="34">
        <f>Statistics!D6</f>
        <v/>
      </c>
      <c r="E12" s="33">
        <f>Statistics!E6</f>
        <v/>
      </c>
      <c r="F12" s="34">
        <f>Statistics!F6</f>
        <v/>
      </c>
      <c r="G12" s="33">
        <f>Statistics!G6</f>
        <v/>
      </c>
      <c r="H12" s="33">
        <f>Statistics!I6</f>
        <v/>
      </c>
    </row>
    <row r="13">
      <c r="A13" s="17" t="inlineStr">
        <is>
          <t>Rotation MOD</t>
        </is>
      </c>
      <c r="B13" s="33">
        <f>Statistics!B7</f>
        <v/>
      </c>
      <c r="C13" s="34">
        <f>Statistics!C7</f>
        <v/>
      </c>
      <c r="D13" s="34">
        <f>Statistics!D7</f>
        <v/>
      </c>
      <c r="E13" s="33">
        <f>Statistics!E7</f>
        <v/>
      </c>
      <c r="F13" s="34">
        <f>Statistics!F7</f>
        <v/>
      </c>
      <c r="G13" s="33">
        <f>Statistics!G7</f>
        <v/>
      </c>
      <c r="H13" s="33">
        <f>Statistics!I7</f>
        <v/>
      </c>
    </row>
    <row r="14">
      <c r="A14" s="17" t="inlineStr">
        <is>
          <t>Rotation AGG</t>
        </is>
      </c>
      <c r="B14" s="33">
        <f>Statistics!B8</f>
        <v/>
      </c>
      <c r="C14" s="34">
        <f>Statistics!C8</f>
        <v/>
      </c>
      <c r="D14" s="34">
        <f>Statistics!D8</f>
        <v/>
      </c>
      <c r="E14" s="33">
        <f>Statistics!E8</f>
        <v/>
      </c>
      <c r="F14" s="34">
        <f>Statistics!F8</f>
        <v/>
      </c>
      <c r="G14" s="33">
        <f>Statistics!G8</f>
        <v/>
      </c>
      <c r="H14" s="33">
        <f>Statistics!I8</f>
        <v/>
      </c>
    </row>
    <row r="15">
      <c r="A15" s="17" t="inlineStr">
        <is>
          <t>Rotation VAGG</t>
        </is>
      </c>
      <c r="B15" s="33">
        <f>Statistics!B9</f>
        <v/>
      </c>
      <c r="C15" s="34">
        <f>Statistics!C9</f>
        <v/>
      </c>
      <c r="D15" s="34">
        <f>Statistics!D9</f>
        <v/>
      </c>
      <c r="E15" s="33">
        <f>Statistics!E9</f>
        <v/>
      </c>
      <c r="F15" s="34">
        <f>Statistics!F9</f>
        <v/>
      </c>
      <c r="G15" s="33">
        <f>Statistics!G9</f>
        <v/>
      </c>
      <c r="H15" s="33">
        <f>Statistics!I9</f>
        <v/>
      </c>
    </row>
    <row r="17">
      <c r="A17" s="3" t="inlineStr">
        <is>
          <t>2 · Forward-looking — after tax, same haircut, same contributions, to end age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35" t="inlineStr">
        <is>
          <t>Benchmark haircut:</t>
        </is>
      </c>
      <c r="I17" s="36">
        <f>Dashboard!$C$10</f>
        <v/>
      </c>
    </row>
    <row r="18">
      <c r="A18" s="37" t="inlineStr">
        <is>
          <t>Portfolio</t>
        </is>
      </c>
      <c r="B18" s="37" t="inlineStr">
        <is>
          <t>Raw hist. CAGR</t>
        </is>
      </c>
      <c r="C18" s="37" t="inlineStr">
        <is>
          <t>Net expected</t>
        </is>
      </c>
      <c r="D18" s="37" t="inlineStr">
        <is>
          <t>Monthly</t>
        </is>
      </c>
      <c r="E18" s="37" t="inlineStr">
        <is>
          <t>Pre-tax balance</t>
        </is>
      </c>
      <c r="F18" s="37" t="inlineStr">
        <is>
          <t>After-tax balance</t>
        </is>
      </c>
      <c r="G18" s="37" t="inlineStr">
        <is>
          <t>vs glide path</t>
        </is>
      </c>
    </row>
    <row r="19">
      <c r="A19" s="22" t="inlineStr">
        <is>
          <t>S&amp;P 500 (SPY)</t>
        </is>
      </c>
      <c r="B19" s="8" t="n">
        <v>0.1098</v>
      </c>
      <c r="C19" s="23">
        <f>B19*(1-$I$17)</f>
        <v/>
      </c>
      <c r="D19" s="63">
        <f>(1+C19)^(1/12)-1</f>
        <v/>
      </c>
      <c r="E19" s="62">
        <f>IF(ABS($D$19-Settings!$B$60)&lt;0.000001,Dashboard!$C$7*(1+$D$19)^(Settings!$B$9*12)+Dashboard!$C$8*(Settings!$B$9*12)*(1+$D$19)^((Settings!$B$9*12)-1),Dashboard!$C$7*(1+$D$19)^(Settings!$B$9*12)+Dashboard!$C$8*(((1+$D$19)^(Settings!$B$9*12))-((1+Settings!$B$60)^(Settings!$B$9*12)))/($D$19-Settings!$B$60))</f>
        <v/>
      </c>
      <c r="F19" s="62">
        <f>$I$30+MAX(0,E19-$I$30)*(1-Dashboard!$C$12)</f>
        <v/>
      </c>
      <c r="G19" s="23">
        <f>F19/$F$29-1</f>
        <v/>
      </c>
    </row>
    <row r="20">
      <c r="A20" s="22" t="inlineStr">
        <is>
          <t>Nasdaq 100 (QQQ)</t>
        </is>
      </c>
      <c r="B20" s="8" t="n">
        <v>0.1645</v>
      </c>
      <c r="C20" s="23">
        <f>B20*(1-$I$17)</f>
        <v/>
      </c>
      <c r="D20" s="63">
        <f>(1+C20)^(1/12)-1</f>
        <v/>
      </c>
      <c r="E20" s="62">
        <f>IF(ABS($D$20-Settings!$B$60)&lt;0.000001,Dashboard!$C$7*(1+$D$20)^(Settings!$B$9*12)+Dashboard!$C$8*(Settings!$B$9*12)*(1+$D$20)^((Settings!$B$9*12)-1),Dashboard!$C$7*(1+$D$20)^(Settings!$B$9*12)+Dashboard!$C$8*(((1+$D$20)^(Settings!$B$9*12))-((1+Settings!$B$60)^(Settings!$B$9*12)))/($D$20-Settings!$B$60))</f>
        <v/>
      </c>
      <c r="F20" s="62">
        <f>$I$30+MAX(0,E20-$I$30)*(1-Dashboard!$C$12)</f>
        <v/>
      </c>
      <c r="G20" s="23">
        <f>F20/$F$29-1</f>
        <v/>
      </c>
    </row>
    <row r="21">
      <c r="A21" s="22" t="inlineStr">
        <is>
          <t>Dow Jones (DIA)</t>
        </is>
      </c>
      <c r="B21" s="8" t="n">
        <v>0.0978</v>
      </c>
      <c r="C21" s="23">
        <f>B21*(1-$I$17)</f>
        <v/>
      </c>
      <c r="D21" s="63">
        <f>(1+C21)^(1/12)-1</f>
        <v/>
      </c>
      <c r="E21" s="62">
        <f>IF(ABS($D$21-Settings!$B$60)&lt;0.000001,Dashboard!$C$7*(1+$D$21)^(Settings!$B$9*12)+Dashboard!$C$8*(Settings!$B$9*12)*(1+$D$21)^((Settings!$B$9*12)-1),Dashboard!$C$7*(1+$D$21)^(Settings!$B$9*12)+Dashboard!$C$8*(((1+$D$21)^(Settings!$B$9*12))-((1+Settings!$B$60)^(Settings!$B$9*12)))/($D$21-Settings!$B$60))</f>
        <v/>
      </c>
      <c r="F21" s="62">
        <f>$I$30+MAX(0,E21-$I$30)*(1-Dashboard!$C$12)</f>
        <v/>
      </c>
      <c r="G21" s="23">
        <f>F21/$F$29-1</f>
        <v/>
      </c>
    </row>
    <row r="22">
      <c r="A22" s="22" t="inlineStr">
        <is>
          <t>60/40 (SPY/AGG)</t>
        </is>
      </c>
      <c r="B22" s="8" t="n">
        <v>0.08169999999999999</v>
      </c>
      <c r="C22" s="23">
        <f>B22*(1-$I$17)</f>
        <v/>
      </c>
      <c r="D22" s="63">
        <f>(1+C22)^(1/12)-1</f>
        <v/>
      </c>
      <c r="E22" s="62">
        <f>IF(ABS($D$22-Settings!$B$60)&lt;0.000001,Dashboard!$C$7*(1+$D$22)^(Settings!$B$9*12)+Dashboard!$C$8*(Settings!$B$9*12)*(1+$D$22)^((Settings!$B$9*12)-1),Dashboard!$C$7*(1+$D$22)^(Settings!$B$9*12)+Dashboard!$C$8*(((1+$D$22)^(Settings!$B$9*12))-((1+Settings!$B$60)^(Settings!$B$9*12)))/($D$22-Settings!$B$60))</f>
        <v/>
      </c>
      <c r="F22" s="62">
        <f>$I$30+MAX(0,E22-$I$30)*(1-Dashboard!$C$12)</f>
        <v/>
      </c>
      <c r="G22" s="23">
        <f>F22/$F$29-1</f>
        <v/>
      </c>
    </row>
    <row r="23">
      <c r="A23" s="22" t="inlineStr">
        <is>
          <t>All bonds (AGG)</t>
        </is>
      </c>
      <c r="B23" s="8" t="n">
        <v>0.0298</v>
      </c>
      <c r="C23" s="23">
        <f>B23*(1-$I$17)</f>
        <v/>
      </c>
      <c r="D23" s="63">
        <f>(1+C23)^(1/12)-1</f>
        <v/>
      </c>
      <c r="E23" s="62">
        <f>IF(ABS($D$23-Settings!$B$60)&lt;0.000001,Dashboard!$C$7*(1+$D$23)^(Settings!$B$9*12)+Dashboard!$C$8*(Settings!$B$9*12)*(1+$D$23)^((Settings!$B$9*12)-1),Dashboard!$C$7*(1+$D$23)^(Settings!$B$9*12)+Dashboard!$C$8*(((1+$D$23)^(Settings!$B$9*12))-((1+Settings!$B$60)^(Settings!$B$9*12)))/($D$23-Settings!$B$60))</f>
        <v/>
      </c>
      <c r="F23" s="62">
        <f>$I$30+MAX(0,E23-$I$30)*(1-Dashboard!$C$12)</f>
        <v/>
      </c>
      <c r="G23" s="23">
        <f>F23/$F$29-1</f>
        <v/>
      </c>
    </row>
    <row r="24">
      <c r="A24" s="22" t="inlineStr">
        <is>
          <t>Gold (GLD)</t>
        </is>
      </c>
      <c r="B24" s="8" t="n">
        <v>0.0998</v>
      </c>
      <c r="C24" s="23">
        <f>B24*(1-$I$17)</f>
        <v/>
      </c>
      <c r="D24" s="63">
        <f>(1+C24)^(1/12)-1</f>
        <v/>
      </c>
      <c r="E24" s="62">
        <f>IF(ABS($D$24-Settings!$B$60)&lt;0.000001,Dashboard!$C$7*(1+$D$24)^(Settings!$B$9*12)+Dashboard!$C$8*(Settings!$B$9*12)*(1+$D$24)^((Settings!$B$9*12)-1),Dashboard!$C$7*(1+$D$24)^(Settings!$B$9*12)+Dashboard!$C$8*(((1+$D$24)^(Settings!$B$9*12))-((1+Settings!$B$60)^(Settings!$B$9*12)))/($D$24-Settings!$B$60))</f>
        <v/>
      </c>
      <c r="F24" s="62">
        <f>$I$30+MAX(0,E24-$I$30)*(1-Dashboard!$C$12)</f>
        <v/>
      </c>
      <c r="G24" s="23">
        <f>F24/$F$29-1</f>
        <v/>
      </c>
    </row>
    <row r="25">
      <c r="A25" s="17" t="inlineStr">
        <is>
          <t>Rotation CONS</t>
        </is>
      </c>
      <c r="B25" s="24">
        <f>Statistics!$B$6</f>
        <v/>
      </c>
      <c r="C25" s="24">
        <f>Settings!$D$13</f>
        <v/>
      </c>
      <c r="D25" s="63">
        <f>(1+C25)^(1/12)-1</f>
        <v/>
      </c>
      <c r="E25" s="62">
        <f>IF(ABS($D$25-Settings!$B$60)&lt;0.000001,Dashboard!$C$7*(1+$D$25)^(Settings!$B$9*12)+Dashboard!$C$8*(Settings!$B$9*12)*(1+$D$25)^((Settings!$B$9*12)-1),Dashboard!$C$7*(1+$D$25)^(Settings!$B$9*12)+Dashboard!$C$8*(((1+$D$25)^(Settings!$B$9*12))-((1+Settings!$B$60)^(Settings!$B$9*12)))/($D$25-Settings!$B$60))</f>
        <v/>
      </c>
      <c r="F25" s="64">
        <f>E25</f>
        <v/>
      </c>
      <c r="G25" s="23">
        <f>F25/$F$29-1</f>
        <v/>
      </c>
    </row>
    <row r="26">
      <c r="A26" s="17" t="inlineStr">
        <is>
          <t>Rotation MOD</t>
        </is>
      </c>
      <c r="B26" s="24">
        <f>Statistics!$B$7</f>
        <v/>
      </c>
      <c r="C26" s="24">
        <f>Settings!$D$14</f>
        <v/>
      </c>
      <c r="D26" s="63">
        <f>(1+C26)^(1/12)-1</f>
        <v/>
      </c>
      <c r="E26" s="62">
        <f>IF(ABS($D$26-Settings!$B$60)&lt;0.000001,Dashboard!$C$7*(1+$D$26)^(Settings!$B$9*12)+Dashboard!$C$8*(Settings!$B$9*12)*(1+$D$26)^((Settings!$B$9*12)-1),Dashboard!$C$7*(1+$D$26)^(Settings!$B$9*12)+Dashboard!$C$8*(((1+$D$26)^(Settings!$B$9*12))-((1+Settings!$B$60)^(Settings!$B$9*12)))/($D$26-Settings!$B$60))</f>
        <v/>
      </c>
      <c r="F26" s="64">
        <f>E26</f>
        <v/>
      </c>
      <c r="G26" s="23">
        <f>F26/$F$29-1</f>
        <v/>
      </c>
    </row>
    <row r="27">
      <c r="A27" s="17" t="inlineStr">
        <is>
          <t>Rotation AGG</t>
        </is>
      </c>
      <c r="B27" s="24">
        <f>Statistics!$B$8</f>
        <v/>
      </c>
      <c r="C27" s="24">
        <f>Settings!$D$15</f>
        <v/>
      </c>
      <c r="D27" s="63">
        <f>(1+C27)^(1/12)-1</f>
        <v/>
      </c>
      <c r="E27" s="62">
        <f>IF(ABS($D$27-Settings!$B$60)&lt;0.000001,Dashboard!$C$7*(1+$D$27)^(Settings!$B$9*12)+Dashboard!$C$8*(Settings!$B$9*12)*(1+$D$27)^((Settings!$B$9*12)-1),Dashboard!$C$7*(1+$D$27)^(Settings!$B$9*12)+Dashboard!$C$8*(((1+$D$27)^(Settings!$B$9*12))-((1+Settings!$B$60)^(Settings!$B$9*12)))/($D$27-Settings!$B$60))</f>
        <v/>
      </c>
      <c r="F27" s="64">
        <f>E27</f>
        <v/>
      </c>
      <c r="G27" s="23">
        <f>F27/$F$29-1</f>
        <v/>
      </c>
    </row>
    <row r="28">
      <c r="A28" s="17" t="inlineStr">
        <is>
          <t>Rotation VAGG</t>
        </is>
      </c>
      <c r="B28" s="24">
        <f>Statistics!$B$9</f>
        <v/>
      </c>
      <c r="C28" s="24">
        <f>Settings!$D$16</f>
        <v/>
      </c>
      <c r="D28" s="63">
        <f>(1+C28)^(1/12)-1</f>
        <v/>
      </c>
      <c r="E28" s="62">
        <f>IF(ABS($D$28-Settings!$B$60)&lt;0.000001,Dashboard!$C$7*(1+$D$28)^(Settings!$B$9*12)+Dashboard!$C$8*(Settings!$B$9*12)*(1+$D$28)^((Settings!$B$9*12)-1),Dashboard!$C$7*(1+$D$28)^(Settings!$B$9*12)+Dashboard!$C$8*(((1+$D$28)^(Settings!$B$9*12))-((1+Settings!$B$60)^(Settings!$B$9*12)))/($D$28-Settings!$B$60))</f>
        <v/>
      </c>
      <c r="F28" s="64">
        <f>E28</f>
        <v/>
      </c>
      <c r="G28" s="23">
        <f>F28/$F$29-1</f>
        <v/>
      </c>
    </row>
    <row r="29">
      <c r="A29" s="40" t="inlineStr">
        <is>
          <t>YOUR GLIDE PATH (exact)</t>
        </is>
      </c>
      <c r="B29" s="24">
        <f>Statistics!$B$32</f>
        <v/>
      </c>
      <c r="F29" s="65">
        <f>INDEX(Projection!$E:$E,(Settings!$B$9*12)+4)</f>
        <v/>
      </c>
    </row>
    <row r="30">
      <c r="H30" s="22" t="inlineStr">
        <is>
          <t>Total contributed:</t>
        </is>
      </c>
      <c r="I30" s="66">
        <f>Dashboard!$C$7+12*SUM(Settings!$B$19:INDEX(Settings!$B$19:$B$58,MIN(40,Settings!$B$9)))</f>
        <v/>
      </c>
    </row>
    <row r="31">
      <c r="A31" s="30" t="inlineStr">
        <is>
          <t>Taxable-account model: rotation tiers taxed ANNUALLY at the ST rate (median regime 2 months — gains are short-term); buy-and-hold benchmarks compound pre-tax and pay the LT rate on gains at liquidation (deferral included; small dividend-tax drag omitted, slightly favoring benchmarks). One haircut on every row.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G4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43" t="inlineStr">
        <is>
          <t>Age-Aware Wealth Projection</t>
        </is>
      </c>
    </row>
    <row r="2">
      <c r="A2" s="9" t="inlineStr">
        <is>
          <t>Each month uses the risk tier from the Dashboard glide path for that age. Low/High = ±1 s.e. on the average growth rate.</t>
        </is>
      </c>
    </row>
    <row r="4">
      <c r="A4" s="44" t="inlineStr">
        <is>
          <t>Month</t>
        </is>
      </c>
      <c r="B4" s="44" t="inlineStr">
        <is>
          <t>Age</t>
        </is>
      </c>
      <c r="C4" s="44" t="inlineStr">
        <is>
          <t>Tier</t>
        </is>
      </c>
      <c r="D4" s="44" t="inlineStr">
        <is>
          <t>Contribution</t>
        </is>
      </c>
      <c r="E4" s="44" t="inlineStr">
        <is>
          <t>Expected</t>
        </is>
      </c>
      <c r="F4" s="44" t="inlineStr">
        <is>
          <t>Low</t>
        </is>
      </c>
      <c r="G4" s="44" t="inlineStr">
        <is>
          <t>High</t>
        </is>
      </c>
    </row>
    <row r="5">
      <c r="A5" s="45" t="n">
        <v>1</v>
      </c>
      <c r="B5" s="67">
        <f>Dashboard!$C$5+(1-1)/12</f>
        <v/>
      </c>
      <c r="C5" s="27">
        <f>INDEX(Dashboard!$C$14:$C$21,MIN(8,INT((1-1)/60)+1))</f>
        <v/>
      </c>
      <c r="D5" s="62">
        <f>MIN(Dashboard!$C$9,INDEX(Settings!$B$19:$B$58,MIN(40,INT((1-1)/12)+1)))</f>
        <v/>
      </c>
      <c r="E5" s="62">
        <f>Dashboard!$C$7*(1+INDEX(Settings!$E$13:$E$16,MATCH(C5,Settings!$A$13:$A$16,0)))+D5</f>
        <v/>
      </c>
      <c r="F5" s="62">
        <f>Dashboard!$C$7*(1+INDEX(Settings!$I$13:$I$16,MATCH(C5,Settings!$A$13:$A$16,0)))+D5</f>
        <v/>
      </c>
      <c r="G5" s="62">
        <f>Dashboard!$C$7*(1+INDEX(Settings!$J$13:$J$16,MATCH(C5,Settings!$A$13:$A$16,0)))+D5</f>
        <v/>
      </c>
    </row>
    <row r="6">
      <c r="A6" s="45" t="n">
        <v>2</v>
      </c>
      <c r="B6" s="67">
        <f>Dashboard!$C$5+(2-1)/12</f>
        <v/>
      </c>
      <c r="C6" s="27">
        <f>INDEX(Dashboard!$C$14:$C$21,MIN(8,INT((2-1)/60)+1))</f>
        <v/>
      </c>
      <c r="D6" s="62">
        <f>MIN(Dashboard!$C$9,INDEX(Settings!$B$19:$B$58,MIN(40,INT((2-1)/12)+1)))</f>
        <v/>
      </c>
      <c r="E6" s="62">
        <f>E5*(1+INDEX(Settings!$E$13:$E$16,MATCH(C6,Settings!$A$13:$A$16,0)))+D6</f>
        <v/>
      </c>
      <c r="F6" s="62">
        <f>F5*(1+INDEX(Settings!$I$13:$I$16,MATCH(C6,Settings!$A$13:$A$16,0)))+D6</f>
        <v/>
      </c>
      <c r="G6" s="62">
        <f>G5*(1+INDEX(Settings!$J$13:$J$16,MATCH(C6,Settings!$A$13:$A$16,0)))+D6</f>
        <v/>
      </c>
    </row>
    <row r="7">
      <c r="A7" s="45" t="n">
        <v>3</v>
      </c>
      <c r="B7" s="67">
        <f>Dashboard!$C$5+(3-1)/12</f>
        <v/>
      </c>
      <c r="C7" s="27">
        <f>INDEX(Dashboard!$C$14:$C$21,MIN(8,INT((3-1)/60)+1))</f>
        <v/>
      </c>
      <c r="D7" s="62">
        <f>MIN(Dashboard!$C$9,INDEX(Settings!$B$19:$B$58,MIN(40,INT((3-1)/12)+1)))</f>
        <v/>
      </c>
      <c r="E7" s="62">
        <f>E6*(1+INDEX(Settings!$E$13:$E$16,MATCH(C7,Settings!$A$13:$A$16,0)))+D7</f>
        <v/>
      </c>
      <c r="F7" s="62">
        <f>F6*(1+INDEX(Settings!$I$13:$I$16,MATCH(C7,Settings!$A$13:$A$16,0)))+D7</f>
        <v/>
      </c>
      <c r="G7" s="62">
        <f>G6*(1+INDEX(Settings!$J$13:$J$16,MATCH(C7,Settings!$A$13:$A$16,0)))+D7</f>
        <v/>
      </c>
    </row>
    <row r="8">
      <c r="A8" s="45" t="n">
        <v>4</v>
      </c>
      <c r="B8" s="67">
        <f>Dashboard!$C$5+(4-1)/12</f>
        <v/>
      </c>
      <c r="C8" s="27">
        <f>INDEX(Dashboard!$C$14:$C$21,MIN(8,INT((4-1)/60)+1))</f>
        <v/>
      </c>
      <c r="D8" s="62">
        <f>MIN(Dashboard!$C$9,INDEX(Settings!$B$19:$B$58,MIN(40,INT((4-1)/12)+1)))</f>
        <v/>
      </c>
      <c r="E8" s="62">
        <f>E7*(1+INDEX(Settings!$E$13:$E$16,MATCH(C8,Settings!$A$13:$A$16,0)))+D8</f>
        <v/>
      </c>
      <c r="F8" s="62">
        <f>F7*(1+INDEX(Settings!$I$13:$I$16,MATCH(C8,Settings!$A$13:$A$16,0)))+D8</f>
        <v/>
      </c>
      <c r="G8" s="62">
        <f>G7*(1+INDEX(Settings!$J$13:$J$16,MATCH(C8,Settings!$A$13:$A$16,0)))+D8</f>
        <v/>
      </c>
    </row>
    <row r="9">
      <c r="A9" s="45" t="n">
        <v>5</v>
      </c>
      <c r="B9" s="67">
        <f>Dashboard!$C$5+(5-1)/12</f>
        <v/>
      </c>
      <c r="C9" s="27">
        <f>INDEX(Dashboard!$C$14:$C$21,MIN(8,INT((5-1)/60)+1))</f>
        <v/>
      </c>
      <c r="D9" s="62">
        <f>MIN(Dashboard!$C$9,INDEX(Settings!$B$19:$B$58,MIN(40,INT((5-1)/12)+1)))</f>
        <v/>
      </c>
      <c r="E9" s="62">
        <f>E8*(1+INDEX(Settings!$E$13:$E$16,MATCH(C9,Settings!$A$13:$A$16,0)))+D9</f>
        <v/>
      </c>
      <c r="F9" s="62">
        <f>F8*(1+INDEX(Settings!$I$13:$I$16,MATCH(C9,Settings!$A$13:$A$16,0)))+D9</f>
        <v/>
      </c>
      <c r="G9" s="62">
        <f>G8*(1+INDEX(Settings!$J$13:$J$16,MATCH(C9,Settings!$A$13:$A$16,0)))+D9</f>
        <v/>
      </c>
    </row>
    <row r="10">
      <c r="A10" s="45" t="n">
        <v>6</v>
      </c>
      <c r="B10" s="67">
        <f>Dashboard!$C$5+(6-1)/12</f>
        <v/>
      </c>
      <c r="C10" s="27">
        <f>INDEX(Dashboard!$C$14:$C$21,MIN(8,INT((6-1)/60)+1))</f>
        <v/>
      </c>
      <c r="D10" s="62">
        <f>MIN(Dashboard!$C$9,INDEX(Settings!$B$19:$B$58,MIN(40,INT((6-1)/12)+1)))</f>
        <v/>
      </c>
      <c r="E10" s="62">
        <f>E9*(1+INDEX(Settings!$E$13:$E$16,MATCH(C10,Settings!$A$13:$A$16,0)))+D10</f>
        <v/>
      </c>
      <c r="F10" s="62">
        <f>F9*(1+INDEX(Settings!$I$13:$I$16,MATCH(C10,Settings!$A$13:$A$16,0)))+D10</f>
        <v/>
      </c>
      <c r="G10" s="62">
        <f>G9*(1+INDEX(Settings!$J$13:$J$16,MATCH(C10,Settings!$A$13:$A$16,0)))+D10</f>
        <v/>
      </c>
    </row>
    <row r="11">
      <c r="A11" s="45" t="n">
        <v>7</v>
      </c>
      <c r="B11" s="67">
        <f>Dashboard!$C$5+(7-1)/12</f>
        <v/>
      </c>
      <c r="C11" s="27">
        <f>INDEX(Dashboard!$C$14:$C$21,MIN(8,INT((7-1)/60)+1))</f>
        <v/>
      </c>
      <c r="D11" s="62">
        <f>MIN(Dashboard!$C$9,INDEX(Settings!$B$19:$B$58,MIN(40,INT((7-1)/12)+1)))</f>
        <v/>
      </c>
      <c r="E11" s="62">
        <f>E10*(1+INDEX(Settings!$E$13:$E$16,MATCH(C11,Settings!$A$13:$A$16,0)))+D11</f>
        <v/>
      </c>
      <c r="F11" s="62">
        <f>F10*(1+INDEX(Settings!$I$13:$I$16,MATCH(C11,Settings!$A$13:$A$16,0)))+D11</f>
        <v/>
      </c>
      <c r="G11" s="62">
        <f>G10*(1+INDEX(Settings!$J$13:$J$16,MATCH(C11,Settings!$A$13:$A$16,0)))+D11</f>
        <v/>
      </c>
    </row>
    <row r="12">
      <c r="A12" s="45" t="n">
        <v>8</v>
      </c>
      <c r="B12" s="67">
        <f>Dashboard!$C$5+(8-1)/12</f>
        <v/>
      </c>
      <c r="C12" s="27">
        <f>INDEX(Dashboard!$C$14:$C$21,MIN(8,INT((8-1)/60)+1))</f>
        <v/>
      </c>
      <c r="D12" s="62">
        <f>MIN(Dashboard!$C$9,INDEX(Settings!$B$19:$B$58,MIN(40,INT((8-1)/12)+1)))</f>
        <v/>
      </c>
      <c r="E12" s="62">
        <f>E11*(1+INDEX(Settings!$E$13:$E$16,MATCH(C12,Settings!$A$13:$A$16,0)))+D12</f>
        <v/>
      </c>
      <c r="F12" s="62">
        <f>F11*(1+INDEX(Settings!$I$13:$I$16,MATCH(C12,Settings!$A$13:$A$16,0)))+D12</f>
        <v/>
      </c>
      <c r="G12" s="62">
        <f>G11*(1+INDEX(Settings!$J$13:$J$16,MATCH(C12,Settings!$A$13:$A$16,0)))+D12</f>
        <v/>
      </c>
    </row>
    <row r="13">
      <c r="A13" s="45" t="n">
        <v>9</v>
      </c>
      <c r="B13" s="67">
        <f>Dashboard!$C$5+(9-1)/12</f>
        <v/>
      </c>
      <c r="C13" s="27">
        <f>INDEX(Dashboard!$C$14:$C$21,MIN(8,INT((9-1)/60)+1))</f>
        <v/>
      </c>
      <c r="D13" s="62">
        <f>MIN(Dashboard!$C$9,INDEX(Settings!$B$19:$B$58,MIN(40,INT((9-1)/12)+1)))</f>
        <v/>
      </c>
      <c r="E13" s="62">
        <f>E12*(1+INDEX(Settings!$E$13:$E$16,MATCH(C13,Settings!$A$13:$A$16,0)))+D13</f>
        <v/>
      </c>
      <c r="F13" s="62">
        <f>F12*(1+INDEX(Settings!$I$13:$I$16,MATCH(C13,Settings!$A$13:$A$16,0)))+D13</f>
        <v/>
      </c>
      <c r="G13" s="62">
        <f>G12*(1+INDEX(Settings!$J$13:$J$16,MATCH(C13,Settings!$A$13:$A$16,0)))+D13</f>
        <v/>
      </c>
    </row>
    <row r="14">
      <c r="A14" s="45" t="n">
        <v>10</v>
      </c>
      <c r="B14" s="67">
        <f>Dashboard!$C$5+(10-1)/12</f>
        <v/>
      </c>
      <c r="C14" s="27">
        <f>INDEX(Dashboard!$C$14:$C$21,MIN(8,INT((10-1)/60)+1))</f>
        <v/>
      </c>
      <c r="D14" s="62">
        <f>MIN(Dashboard!$C$9,INDEX(Settings!$B$19:$B$58,MIN(40,INT((10-1)/12)+1)))</f>
        <v/>
      </c>
      <c r="E14" s="62">
        <f>E13*(1+INDEX(Settings!$E$13:$E$16,MATCH(C14,Settings!$A$13:$A$16,0)))+D14</f>
        <v/>
      </c>
      <c r="F14" s="62">
        <f>F13*(1+INDEX(Settings!$I$13:$I$16,MATCH(C14,Settings!$A$13:$A$16,0)))+D14</f>
        <v/>
      </c>
      <c r="G14" s="62">
        <f>G13*(1+INDEX(Settings!$J$13:$J$16,MATCH(C14,Settings!$A$13:$A$16,0)))+D14</f>
        <v/>
      </c>
    </row>
    <row r="15">
      <c r="A15" s="45" t="n">
        <v>11</v>
      </c>
      <c r="B15" s="67">
        <f>Dashboard!$C$5+(11-1)/12</f>
        <v/>
      </c>
      <c r="C15" s="27">
        <f>INDEX(Dashboard!$C$14:$C$21,MIN(8,INT((11-1)/60)+1))</f>
        <v/>
      </c>
      <c r="D15" s="62">
        <f>MIN(Dashboard!$C$9,INDEX(Settings!$B$19:$B$58,MIN(40,INT((11-1)/12)+1)))</f>
        <v/>
      </c>
      <c r="E15" s="62">
        <f>E14*(1+INDEX(Settings!$E$13:$E$16,MATCH(C15,Settings!$A$13:$A$16,0)))+D15</f>
        <v/>
      </c>
      <c r="F15" s="62">
        <f>F14*(1+INDEX(Settings!$I$13:$I$16,MATCH(C15,Settings!$A$13:$A$16,0)))+D15</f>
        <v/>
      </c>
      <c r="G15" s="62">
        <f>G14*(1+INDEX(Settings!$J$13:$J$16,MATCH(C15,Settings!$A$13:$A$16,0)))+D15</f>
        <v/>
      </c>
    </row>
    <row r="16">
      <c r="A16" s="45" t="n">
        <v>12</v>
      </c>
      <c r="B16" s="67">
        <f>Dashboard!$C$5+(12-1)/12</f>
        <v/>
      </c>
      <c r="C16" s="27">
        <f>INDEX(Dashboard!$C$14:$C$21,MIN(8,INT((12-1)/60)+1))</f>
        <v/>
      </c>
      <c r="D16" s="62">
        <f>MIN(Dashboard!$C$9,INDEX(Settings!$B$19:$B$58,MIN(40,INT((12-1)/12)+1)))</f>
        <v/>
      </c>
      <c r="E16" s="62">
        <f>E15*(1+INDEX(Settings!$E$13:$E$16,MATCH(C16,Settings!$A$13:$A$16,0)))+D16</f>
        <v/>
      </c>
      <c r="F16" s="62">
        <f>F15*(1+INDEX(Settings!$I$13:$I$16,MATCH(C16,Settings!$A$13:$A$16,0)))+D16</f>
        <v/>
      </c>
      <c r="G16" s="62">
        <f>G15*(1+INDEX(Settings!$J$13:$J$16,MATCH(C16,Settings!$A$13:$A$16,0)))+D16</f>
        <v/>
      </c>
    </row>
    <row r="17">
      <c r="A17" s="45" t="n">
        <v>13</v>
      </c>
      <c r="B17" s="67">
        <f>Dashboard!$C$5+(13-1)/12</f>
        <v/>
      </c>
      <c r="C17" s="27">
        <f>INDEX(Dashboard!$C$14:$C$21,MIN(8,INT((13-1)/60)+1))</f>
        <v/>
      </c>
      <c r="D17" s="62">
        <f>MIN(Dashboard!$C$9,INDEX(Settings!$B$19:$B$58,MIN(40,INT((13-1)/12)+1)))</f>
        <v/>
      </c>
      <c r="E17" s="62">
        <f>E16*(1+INDEX(Settings!$E$13:$E$16,MATCH(C17,Settings!$A$13:$A$16,0)))+D17</f>
        <v/>
      </c>
      <c r="F17" s="62">
        <f>F16*(1+INDEX(Settings!$I$13:$I$16,MATCH(C17,Settings!$A$13:$A$16,0)))+D17</f>
        <v/>
      </c>
      <c r="G17" s="62">
        <f>G16*(1+INDEX(Settings!$J$13:$J$16,MATCH(C17,Settings!$A$13:$A$16,0)))+D17</f>
        <v/>
      </c>
    </row>
    <row r="18">
      <c r="A18" s="45" t="n">
        <v>14</v>
      </c>
      <c r="B18" s="67">
        <f>Dashboard!$C$5+(14-1)/12</f>
        <v/>
      </c>
      <c r="C18" s="27">
        <f>INDEX(Dashboard!$C$14:$C$21,MIN(8,INT((14-1)/60)+1))</f>
        <v/>
      </c>
      <c r="D18" s="62">
        <f>MIN(Dashboard!$C$9,INDEX(Settings!$B$19:$B$58,MIN(40,INT((14-1)/12)+1)))</f>
        <v/>
      </c>
      <c r="E18" s="62">
        <f>E17*(1+INDEX(Settings!$E$13:$E$16,MATCH(C18,Settings!$A$13:$A$16,0)))+D18</f>
        <v/>
      </c>
      <c r="F18" s="62">
        <f>F17*(1+INDEX(Settings!$I$13:$I$16,MATCH(C18,Settings!$A$13:$A$16,0)))+D18</f>
        <v/>
      </c>
      <c r="G18" s="62">
        <f>G17*(1+INDEX(Settings!$J$13:$J$16,MATCH(C18,Settings!$A$13:$A$16,0)))+D18</f>
        <v/>
      </c>
    </row>
    <row r="19">
      <c r="A19" s="45" t="n">
        <v>15</v>
      </c>
      <c r="B19" s="67">
        <f>Dashboard!$C$5+(15-1)/12</f>
        <v/>
      </c>
      <c r="C19" s="27">
        <f>INDEX(Dashboard!$C$14:$C$21,MIN(8,INT((15-1)/60)+1))</f>
        <v/>
      </c>
      <c r="D19" s="62">
        <f>MIN(Dashboard!$C$9,INDEX(Settings!$B$19:$B$58,MIN(40,INT((15-1)/12)+1)))</f>
        <v/>
      </c>
      <c r="E19" s="62">
        <f>E18*(1+INDEX(Settings!$E$13:$E$16,MATCH(C19,Settings!$A$13:$A$16,0)))+D19</f>
        <v/>
      </c>
      <c r="F19" s="62">
        <f>F18*(1+INDEX(Settings!$I$13:$I$16,MATCH(C19,Settings!$A$13:$A$16,0)))+D19</f>
        <v/>
      </c>
      <c r="G19" s="62">
        <f>G18*(1+INDEX(Settings!$J$13:$J$16,MATCH(C19,Settings!$A$13:$A$16,0)))+D19</f>
        <v/>
      </c>
    </row>
    <row r="20">
      <c r="A20" s="45" t="n">
        <v>16</v>
      </c>
      <c r="B20" s="67">
        <f>Dashboard!$C$5+(16-1)/12</f>
        <v/>
      </c>
      <c r="C20" s="27">
        <f>INDEX(Dashboard!$C$14:$C$21,MIN(8,INT((16-1)/60)+1))</f>
        <v/>
      </c>
      <c r="D20" s="62">
        <f>MIN(Dashboard!$C$9,INDEX(Settings!$B$19:$B$58,MIN(40,INT((16-1)/12)+1)))</f>
        <v/>
      </c>
      <c r="E20" s="62">
        <f>E19*(1+INDEX(Settings!$E$13:$E$16,MATCH(C20,Settings!$A$13:$A$16,0)))+D20</f>
        <v/>
      </c>
      <c r="F20" s="62">
        <f>F19*(1+INDEX(Settings!$I$13:$I$16,MATCH(C20,Settings!$A$13:$A$16,0)))+D20</f>
        <v/>
      </c>
      <c r="G20" s="62">
        <f>G19*(1+INDEX(Settings!$J$13:$J$16,MATCH(C20,Settings!$A$13:$A$16,0)))+D20</f>
        <v/>
      </c>
    </row>
    <row r="21">
      <c r="A21" s="45" t="n">
        <v>17</v>
      </c>
      <c r="B21" s="67">
        <f>Dashboard!$C$5+(17-1)/12</f>
        <v/>
      </c>
      <c r="C21" s="27">
        <f>INDEX(Dashboard!$C$14:$C$21,MIN(8,INT((17-1)/60)+1))</f>
        <v/>
      </c>
      <c r="D21" s="62">
        <f>MIN(Dashboard!$C$9,INDEX(Settings!$B$19:$B$58,MIN(40,INT((17-1)/12)+1)))</f>
        <v/>
      </c>
      <c r="E21" s="62">
        <f>E20*(1+INDEX(Settings!$E$13:$E$16,MATCH(C21,Settings!$A$13:$A$16,0)))+D21</f>
        <v/>
      </c>
      <c r="F21" s="62">
        <f>F20*(1+INDEX(Settings!$I$13:$I$16,MATCH(C21,Settings!$A$13:$A$16,0)))+D21</f>
        <v/>
      </c>
      <c r="G21" s="62">
        <f>G20*(1+INDEX(Settings!$J$13:$J$16,MATCH(C21,Settings!$A$13:$A$16,0)))+D21</f>
        <v/>
      </c>
    </row>
    <row r="22">
      <c r="A22" s="45" t="n">
        <v>18</v>
      </c>
      <c r="B22" s="67">
        <f>Dashboard!$C$5+(18-1)/12</f>
        <v/>
      </c>
      <c r="C22" s="27">
        <f>INDEX(Dashboard!$C$14:$C$21,MIN(8,INT((18-1)/60)+1))</f>
        <v/>
      </c>
      <c r="D22" s="62">
        <f>MIN(Dashboard!$C$9,INDEX(Settings!$B$19:$B$58,MIN(40,INT((18-1)/12)+1)))</f>
        <v/>
      </c>
      <c r="E22" s="62">
        <f>E21*(1+INDEX(Settings!$E$13:$E$16,MATCH(C22,Settings!$A$13:$A$16,0)))+D22</f>
        <v/>
      </c>
      <c r="F22" s="62">
        <f>F21*(1+INDEX(Settings!$I$13:$I$16,MATCH(C22,Settings!$A$13:$A$16,0)))+D22</f>
        <v/>
      </c>
      <c r="G22" s="62">
        <f>G21*(1+INDEX(Settings!$J$13:$J$16,MATCH(C22,Settings!$A$13:$A$16,0)))+D22</f>
        <v/>
      </c>
    </row>
    <row r="23">
      <c r="A23" s="45" t="n">
        <v>19</v>
      </c>
      <c r="B23" s="67">
        <f>Dashboard!$C$5+(19-1)/12</f>
        <v/>
      </c>
      <c r="C23" s="27">
        <f>INDEX(Dashboard!$C$14:$C$21,MIN(8,INT((19-1)/60)+1))</f>
        <v/>
      </c>
      <c r="D23" s="62">
        <f>MIN(Dashboard!$C$9,INDEX(Settings!$B$19:$B$58,MIN(40,INT((19-1)/12)+1)))</f>
        <v/>
      </c>
      <c r="E23" s="62">
        <f>E22*(1+INDEX(Settings!$E$13:$E$16,MATCH(C23,Settings!$A$13:$A$16,0)))+D23</f>
        <v/>
      </c>
      <c r="F23" s="62">
        <f>F22*(1+INDEX(Settings!$I$13:$I$16,MATCH(C23,Settings!$A$13:$A$16,0)))+D23</f>
        <v/>
      </c>
      <c r="G23" s="62">
        <f>G22*(1+INDEX(Settings!$J$13:$J$16,MATCH(C23,Settings!$A$13:$A$16,0)))+D23</f>
        <v/>
      </c>
    </row>
    <row r="24">
      <c r="A24" s="45" t="n">
        <v>20</v>
      </c>
      <c r="B24" s="67">
        <f>Dashboard!$C$5+(20-1)/12</f>
        <v/>
      </c>
      <c r="C24" s="27">
        <f>INDEX(Dashboard!$C$14:$C$21,MIN(8,INT((20-1)/60)+1))</f>
        <v/>
      </c>
      <c r="D24" s="62">
        <f>MIN(Dashboard!$C$9,INDEX(Settings!$B$19:$B$58,MIN(40,INT((20-1)/12)+1)))</f>
        <v/>
      </c>
      <c r="E24" s="62">
        <f>E23*(1+INDEX(Settings!$E$13:$E$16,MATCH(C24,Settings!$A$13:$A$16,0)))+D24</f>
        <v/>
      </c>
      <c r="F24" s="62">
        <f>F23*(1+INDEX(Settings!$I$13:$I$16,MATCH(C24,Settings!$A$13:$A$16,0)))+D24</f>
        <v/>
      </c>
      <c r="G24" s="62">
        <f>G23*(1+INDEX(Settings!$J$13:$J$16,MATCH(C24,Settings!$A$13:$A$16,0)))+D24</f>
        <v/>
      </c>
    </row>
    <row r="25">
      <c r="A25" s="45" t="n">
        <v>21</v>
      </c>
      <c r="B25" s="67">
        <f>Dashboard!$C$5+(21-1)/12</f>
        <v/>
      </c>
      <c r="C25" s="27">
        <f>INDEX(Dashboard!$C$14:$C$21,MIN(8,INT((21-1)/60)+1))</f>
        <v/>
      </c>
      <c r="D25" s="62">
        <f>MIN(Dashboard!$C$9,INDEX(Settings!$B$19:$B$58,MIN(40,INT((21-1)/12)+1)))</f>
        <v/>
      </c>
      <c r="E25" s="62">
        <f>E24*(1+INDEX(Settings!$E$13:$E$16,MATCH(C25,Settings!$A$13:$A$16,0)))+D25</f>
        <v/>
      </c>
      <c r="F25" s="62">
        <f>F24*(1+INDEX(Settings!$I$13:$I$16,MATCH(C25,Settings!$A$13:$A$16,0)))+D25</f>
        <v/>
      </c>
      <c r="G25" s="62">
        <f>G24*(1+INDEX(Settings!$J$13:$J$16,MATCH(C25,Settings!$A$13:$A$16,0)))+D25</f>
        <v/>
      </c>
    </row>
    <row r="26">
      <c r="A26" s="45" t="n">
        <v>22</v>
      </c>
      <c r="B26" s="67">
        <f>Dashboard!$C$5+(22-1)/12</f>
        <v/>
      </c>
      <c r="C26" s="27">
        <f>INDEX(Dashboard!$C$14:$C$21,MIN(8,INT((22-1)/60)+1))</f>
        <v/>
      </c>
      <c r="D26" s="62">
        <f>MIN(Dashboard!$C$9,INDEX(Settings!$B$19:$B$58,MIN(40,INT((22-1)/12)+1)))</f>
        <v/>
      </c>
      <c r="E26" s="62">
        <f>E25*(1+INDEX(Settings!$E$13:$E$16,MATCH(C26,Settings!$A$13:$A$16,0)))+D26</f>
        <v/>
      </c>
      <c r="F26" s="62">
        <f>F25*(1+INDEX(Settings!$I$13:$I$16,MATCH(C26,Settings!$A$13:$A$16,0)))+D26</f>
        <v/>
      </c>
      <c r="G26" s="62">
        <f>G25*(1+INDEX(Settings!$J$13:$J$16,MATCH(C26,Settings!$A$13:$A$16,0)))+D26</f>
        <v/>
      </c>
    </row>
    <row r="27">
      <c r="A27" s="45" t="n">
        <v>23</v>
      </c>
      <c r="B27" s="67">
        <f>Dashboard!$C$5+(23-1)/12</f>
        <v/>
      </c>
      <c r="C27" s="27">
        <f>INDEX(Dashboard!$C$14:$C$21,MIN(8,INT((23-1)/60)+1))</f>
        <v/>
      </c>
      <c r="D27" s="62">
        <f>MIN(Dashboard!$C$9,INDEX(Settings!$B$19:$B$58,MIN(40,INT((23-1)/12)+1)))</f>
        <v/>
      </c>
      <c r="E27" s="62">
        <f>E26*(1+INDEX(Settings!$E$13:$E$16,MATCH(C27,Settings!$A$13:$A$16,0)))+D27</f>
        <v/>
      </c>
      <c r="F27" s="62">
        <f>F26*(1+INDEX(Settings!$I$13:$I$16,MATCH(C27,Settings!$A$13:$A$16,0)))+D27</f>
        <v/>
      </c>
      <c r="G27" s="62">
        <f>G26*(1+INDEX(Settings!$J$13:$J$16,MATCH(C27,Settings!$A$13:$A$16,0)))+D27</f>
        <v/>
      </c>
    </row>
    <row r="28">
      <c r="A28" s="45" t="n">
        <v>24</v>
      </c>
      <c r="B28" s="67">
        <f>Dashboard!$C$5+(24-1)/12</f>
        <v/>
      </c>
      <c r="C28" s="27">
        <f>INDEX(Dashboard!$C$14:$C$21,MIN(8,INT((24-1)/60)+1))</f>
        <v/>
      </c>
      <c r="D28" s="62">
        <f>MIN(Dashboard!$C$9,INDEX(Settings!$B$19:$B$58,MIN(40,INT((24-1)/12)+1)))</f>
        <v/>
      </c>
      <c r="E28" s="62">
        <f>E27*(1+INDEX(Settings!$E$13:$E$16,MATCH(C28,Settings!$A$13:$A$16,0)))+D28</f>
        <v/>
      </c>
      <c r="F28" s="62">
        <f>F27*(1+INDEX(Settings!$I$13:$I$16,MATCH(C28,Settings!$A$13:$A$16,0)))+D28</f>
        <v/>
      </c>
      <c r="G28" s="62">
        <f>G27*(1+INDEX(Settings!$J$13:$J$16,MATCH(C28,Settings!$A$13:$A$16,0)))+D28</f>
        <v/>
      </c>
    </row>
    <row r="29">
      <c r="A29" s="45" t="n">
        <v>25</v>
      </c>
      <c r="B29" s="67">
        <f>Dashboard!$C$5+(25-1)/12</f>
        <v/>
      </c>
      <c r="C29" s="27">
        <f>INDEX(Dashboard!$C$14:$C$21,MIN(8,INT((25-1)/60)+1))</f>
        <v/>
      </c>
      <c r="D29" s="62">
        <f>MIN(Dashboard!$C$9,INDEX(Settings!$B$19:$B$58,MIN(40,INT((25-1)/12)+1)))</f>
        <v/>
      </c>
      <c r="E29" s="62">
        <f>E28*(1+INDEX(Settings!$E$13:$E$16,MATCH(C29,Settings!$A$13:$A$16,0)))+D29</f>
        <v/>
      </c>
      <c r="F29" s="62">
        <f>F28*(1+INDEX(Settings!$I$13:$I$16,MATCH(C29,Settings!$A$13:$A$16,0)))+D29</f>
        <v/>
      </c>
      <c r="G29" s="62">
        <f>G28*(1+INDEX(Settings!$J$13:$J$16,MATCH(C29,Settings!$A$13:$A$16,0)))+D29</f>
        <v/>
      </c>
    </row>
    <row r="30">
      <c r="A30" s="45" t="n">
        <v>26</v>
      </c>
      <c r="B30" s="67">
        <f>Dashboard!$C$5+(26-1)/12</f>
        <v/>
      </c>
      <c r="C30" s="27">
        <f>INDEX(Dashboard!$C$14:$C$21,MIN(8,INT((26-1)/60)+1))</f>
        <v/>
      </c>
      <c r="D30" s="62">
        <f>MIN(Dashboard!$C$9,INDEX(Settings!$B$19:$B$58,MIN(40,INT((26-1)/12)+1)))</f>
        <v/>
      </c>
      <c r="E30" s="62">
        <f>E29*(1+INDEX(Settings!$E$13:$E$16,MATCH(C30,Settings!$A$13:$A$16,0)))+D30</f>
        <v/>
      </c>
      <c r="F30" s="62">
        <f>F29*(1+INDEX(Settings!$I$13:$I$16,MATCH(C30,Settings!$A$13:$A$16,0)))+D30</f>
        <v/>
      </c>
      <c r="G30" s="62">
        <f>G29*(1+INDEX(Settings!$J$13:$J$16,MATCH(C30,Settings!$A$13:$A$16,0)))+D30</f>
        <v/>
      </c>
    </row>
    <row r="31">
      <c r="A31" s="45" t="n">
        <v>27</v>
      </c>
      <c r="B31" s="67">
        <f>Dashboard!$C$5+(27-1)/12</f>
        <v/>
      </c>
      <c r="C31" s="27">
        <f>INDEX(Dashboard!$C$14:$C$21,MIN(8,INT((27-1)/60)+1))</f>
        <v/>
      </c>
      <c r="D31" s="62">
        <f>MIN(Dashboard!$C$9,INDEX(Settings!$B$19:$B$58,MIN(40,INT((27-1)/12)+1)))</f>
        <v/>
      </c>
      <c r="E31" s="62">
        <f>E30*(1+INDEX(Settings!$E$13:$E$16,MATCH(C31,Settings!$A$13:$A$16,0)))+D31</f>
        <v/>
      </c>
      <c r="F31" s="62">
        <f>F30*(1+INDEX(Settings!$I$13:$I$16,MATCH(C31,Settings!$A$13:$A$16,0)))+D31</f>
        <v/>
      </c>
      <c r="G31" s="62">
        <f>G30*(1+INDEX(Settings!$J$13:$J$16,MATCH(C31,Settings!$A$13:$A$16,0)))+D31</f>
        <v/>
      </c>
    </row>
    <row r="32">
      <c r="A32" s="45" t="n">
        <v>28</v>
      </c>
      <c r="B32" s="67">
        <f>Dashboard!$C$5+(28-1)/12</f>
        <v/>
      </c>
      <c r="C32" s="27">
        <f>INDEX(Dashboard!$C$14:$C$21,MIN(8,INT((28-1)/60)+1))</f>
        <v/>
      </c>
      <c r="D32" s="62">
        <f>MIN(Dashboard!$C$9,INDEX(Settings!$B$19:$B$58,MIN(40,INT((28-1)/12)+1)))</f>
        <v/>
      </c>
      <c r="E32" s="62">
        <f>E31*(1+INDEX(Settings!$E$13:$E$16,MATCH(C32,Settings!$A$13:$A$16,0)))+D32</f>
        <v/>
      </c>
      <c r="F32" s="62">
        <f>F31*(1+INDEX(Settings!$I$13:$I$16,MATCH(C32,Settings!$A$13:$A$16,0)))+D32</f>
        <v/>
      </c>
      <c r="G32" s="62">
        <f>G31*(1+INDEX(Settings!$J$13:$J$16,MATCH(C32,Settings!$A$13:$A$16,0)))+D32</f>
        <v/>
      </c>
    </row>
    <row r="33">
      <c r="A33" s="45" t="n">
        <v>29</v>
      </c>
      <c r="B33" s="67">
        <f>Dashboard!$C$5+(29-1)/12</f>
        <v/>
      </c>
      <c r="C33" s="27">
        <f>INDEX(Dashboard!$C$14:$C$21,MIN(8,INT((29-1)/60)+1))</f>
        <v/>
      </c>
      <c r="D33" s="62">
        <f>MIN(Dashboard!$C$9,INDEX(Settings!$B$19:$B$58,MIN(40,INT((29-1)/12)+1)))</f>
        <v/>
      </c>
      <c r="E33" s="62">
        <f>E32*(1+INDEX(Settings!$E$13:$E$16,MATCH(C33,Settings!$A$13:$A$16,0)))+D33</f>
        <v/>
      </c>
      <c r="F33" s="62">
        <f>F32*(1+INDEX(Settings!$I$13:$I$16,MATCH(C33,Settings!$A$13:$A$16,0)))+D33</f>
        <v/>
      </c>
      <c r="G33" s="62">
        <f>G32*(1+INDEX(Settings!$J$13:$J$16,MATCH(C33,Settings!$A$13:$A$16,0)))+D33</f>
        <v/>
      </c>
    </row>
    <row r="34">
      <c r="A34" s="45" t="n">
        <v>30</v>
      </c>
      <c r="B34" s="67">
        <f>Dashboard!$C$5+(30-1)/12</f>
        <v/>
      </c>
      <c r="C34" s="27">
        <f>INDEX(Dashboard!$C$14:$C$21,MIN(8,INT((30-1)/60)+1))</f>
        <v/>
      </c>
      <c r="D34" s="62">
        <f>MIN(Dashboard!$C$9,INDEX(Settings!$B$19:$B$58,MIN(40,INT((30-1)/12)+1)))</f>
        <v/>
      </c>
      <c r="E34" s="62">
        <f>E33*(1+INDEX(Settings!$E$13:$E$16,MATCH(C34,Settings!$A$13:$A$16,0)))+D34</f>
        <v/>
      </c>
      <c r="F34" s="62">
        <f>F33*(1+INDEX(Settings!$I$13:$I$16,MATCH(C34,Settings!$A$13:$A$16,0)))+D34</f>
        <v/>
      </c>
      <c r="G34" s="62">
        <f>G33*(1+INDEX(Settings!$J$13:$J$16,MATCH(C34,Settings!$A$13:$A$16,0)))+D34</f>
        <v/>
      </c>
    </row>
    <row r="35">
      <c r="A35" s="45" t="n">
        <v>31</v>
      </c>
      <c r="B35" s="67">
        <f>Dashboard!$C$5+(31-1)/12</f>
        <v/>
      </c>
      <c r="C35" s="27">
        <f>INDEX(Dashboard!$C$14:$C$21,MIN(8,INT((31-1)/60)+1))</f>
        <v/>
      </c>
      <c r="D35" s="62">
        <f>MIN(Dashboard!$C$9,INDEX(Settings!$B$19:$B$58,MIN(40,INT((31-1)/12)+1)))</f>
        <v/>
      </c>
      <c r="E35" s="62">
        <f>E34*(1+INDEX(Settings!$E$13:$E$16,MATCH(C35,Settings!$A$13:$A$16,0)))+D35</f>
        <v/>
      </c>
      <c r="F35" s="62">
        <f>F34*(1+INDEX(Settings!$I$13:$I$16,MATCH(C35,Settings!$A$13:$A$16,0)))+D35</f>
        <v/>
      </c>
      <c r="G35" s="62">
        <f>G34*(1+INDEX(Settings!$J$13:$J$16,MATCH(C35,Settings!$A$13:$A$16,0)))+D35</f>
        <v/>
      </c>
    </row>
    <row r="36">
      <c r="A36" s="45" t="n">
        <v>32</v>
      </c>
      <c r="B36" s="67">
        <f>Dashboard!$C$5+(32-1)/12</f>
        <v/>
      </c>
      <c r="C36" s="27">
        <f>INDEX(Dashboard!$C$14:$C$21,MIN(8,INT((32-1)/60)+1))</f>
        <v/>
      </c>
      <c r="D36" s="62">
        <f>MIN(Dashboard!$C$9,INDEX(Settings!$B$19:$B$58,MIN(40,INT((32-1)/12)+1)))</f>
        <v/>
      </c>
      <c r="E36" s="62">
        <f>E35*(1+INDEX(Settings!$E$13:$E$16,MATCH(C36,Settings!$A$13:$A$16,0)))+D36</f>
        <v/>
      </c>
      <c r="F36" s="62">
        <f>F35*(1+INDEX(Settings!$I$13:$I$16,MATCH(C36,Settings!$A$13:$A$16,0)))+D36</f>
        <v/>
      </c>
      <c r="G36" s="62">
        <f>G35*(1+INDEX(Settings!$J$13:$J$16,MATCH(C36,Settings!$A$13:$A$16,0)))+D36</f>
        <v/>
      </c>
    </row>
    <row r="37">
      <c r="A37" s="45" t="n">
        <v>33</v>
      </c>
      <c r="B37" s="67">
        <f>Dashboard!$C$5+(33-1)/12</f>
        <v/>
      </c>
      <c r="C37" s="27">
        <f>INDEX(Dashboard!$C$14:$C$21,MIN(8,INT((33-1)/60)+1))</f>
        <v/>
      </c>
      <c r="D37" s="62">
        <f>MIN(Dashboard!$C$9,INDEX(Settings!$B$19:$B$58,MIN(40,INT((33-1)/12)+1)))</f>
        <v/>
      </c>
      <c r="E37" s="62">
        <f>E36*(1+INDEX(Settings!$E$13:$E$16,MATCH(C37,Settings!$A$13:$A$16,0)))+D37</f>
        <v/>
      </c>
      <c r="F37" s="62">
        <f>F36*(1+INDEX(Settings!$I$13:$I$16,MATCH(C37,Settings!$A$13:$A$16,0)))+D37</f>
        <v/>
      </c>
      <c r="G37" s="62">
        <f>G36*(1+INDEX(Settings!$J$13:$J$16,MATCH(C37,Settings!$A$13:$A$16,0)))+D37</f>
        <v/>
      </c>
    </row>
    <row r="38">
      <c r="A38" s="45" t="n">
        <v>34</v>
      </c>
      <c r="B38" s="67">
        <f>Dashboard!$C$5+(34-1)/12</f>
        <v/>
      </c>
      <c r="C38" s="27">
        <f>INDEX(Dashboard!$C$14:$C$21,MIN(8,INT((34-1)/60)+1))</f>
        <v/>
      </c>
      <c r="D38" s="62">
        <f>MIN(Dashboard!$C$9,INDEX(Settings!$B$19:$B$58,MIN(40,INT((34-1)/12)+1)))</f>
        <v/>
      </c>
      <c r="E38" s="62">
        <f>E37*(1+INDEX(Settings!$E$13:$E$16,MATCH(C38,Settings!$A$13:$A$16,0)))+D38</f>
        <v/>
      </c>
      <c r="F38" s="62">
        <f>F37*(1+INDEX(Settings!$I$13:$I$16,MATCH(C38,Settings!$A$13:$A$16,0)))+D38</f>
        <v/>
      </c>
      <c r="G38" s="62">
        <f>G37*(1+INDEX(Settings!$J$13:$J$16,MATCH(C38,Settings!$A$13:$A$16,0)))+D38</f>
        <v/>
      </c>
    </row>
    <row r="39">
      <c r="A39" s="45" t="n">
        <v>35</v>
      </c>
      <c r="B39" s="67">
        <f>Dashboard!$C$5+(35-1)/12</f>
        <v/>
      </c>
      <c r="C39" s="27">
        <f>INDEX(Dashboard!$C$14:$C$21,MIN(8,INT((35-1)/60)+1))</f>
        <v/>
      </c>
      <c r="D39" s="62">
        <f>MIN(Dashboard!$C$9,INDEX(Settings!$B$19:$B$58,MIN(40,INT((35-1)/12)+1)))</f>
        <v/>
      </c>
      <c r="E39" s="62">
        <f>E38*(1+INDEX(Settings!$E$13:$E$16,MATCH(C39,Settings!$A$13:$A$16,0)))+D39</f>
        <v/>
      </c>
      <c r="F39" s="62">
        <f>F38*(1+INDEX(Settings!$I$13:$I$16,MATCH(C39,Settings!$A$13:$A$16,0)))+D39</f>
        <v/>
      </c>
      <c r="G39" s="62">
        <f>G38*(1+INDEX(Settings!$J$13:$J$16,MATCH(C39,Settings!$A$13:$A$16,0)))+D39</f>
        <v/>
      </c>
    </row>
    <row r="40">
      <c r="A40" s="45" t="n">
        <v>36</v>
      </c>
      <c r="B40" s="67">
        <f>Dashboard!$C$5+(36-1)/12</f>
        <v/>
      </c>
      <c r="C40" s="27">
        <f>INDEX(Dashboard!$C$14:$C$21,MIN(8,INT((36-1)/60)+1))</f>
        <v/>
      </c>
      <c r="D40" s="62">
        <f>MIN(Dashboard!$C$9,INDEX(Settings!$B$19:$B$58,MIN(40,INT((36-1)/12)+1)))</f>
        <v/>
      </c>
      <c r="E40" s="62">
        <f>E39*(1+INDEX(Settings!$E$13:$E$16,MATCH(C40,Settings!$A$13:$A$16,0)))+D40</f>
        <v/>
      </c>
      <c r="F40" s="62">
        <f>F39*(1+INDEX(Settings!$I$13:$I$16,MATCH(C40,Settings!$A$13:$A$16,0)))+D40</f>
        <v/>
      </c>
      <c r="G40" s="62">
        <f>G39*(1+INDEX(Settings!$J$13:$J$16,MATCH(C40,Settings!$A$13:$A$16,0)))+D40</f>
        <v/>
      </c>
    </row>
    <row r="41">
      <c r="A41" s="45" t="n">
        <v>37</v>
      </c>
      <c r="B41" s="67">
        <f>Dashboard!$C$5+(37-1)/12</f>
        <v/>
      </c>
      <c r="C41" s="27">
        <f>INDEX(Dashboard!$C$14:$C$21,MIN(8,INT((37-1)/60)+1))</f>
        <v/>
      </c>
      <c r="D41" s="62">
        <f>MIN(Dashboard!$C$9,INDEX(Settings!$B$19:$B$58,MIN(40,INT((37-1)/12)+1)))</f>
        <v/>
      </c>
      <c r="E41" s="62">
        <f>E40*(1+INDEX(Settings!$E$13:$E$16,MATCH(C41,Settings!$A$13:$A$16,0)))+D41</f>
        <v/>
      </c>
      <c r="F41" s="62">
        <f>F40*(1+INDEX(Settings!$I$13:$I$16,MATCH(C41,Settings!$A$13:$A$16,0)))+D41</f>
        <v/>
      </c>
      <c r="G41" s="62">
        <f>G40*(1+INDEX(Settings!$J$13:$J$16,MATCH(C41,Settings!$A$13:$A$16,0)))+D41</f>
        <v/>
      </c>
    </row>
    <row r="42">
      <c r="A42" s="45" t="n">
        <v>38</v>
      </c>
      <c r="B42" s="67">
        <f>Dashboard!$C$5+(38-1)/12</f>
        <v/>
      </c>
      <c r="C42" s="27">
        <f>INDEX(Dashboard!$C$14:$C$21,MIN(8,INT((38-1)/60)+1))</f>
        <v/>
      </c>
      <c r="D42" s="62">
        <f>MIN(Dashboard!$C$9,INDEX(Settings!$B$19:$B$58,MIN(40,INT((38-1)/12)+1)))</f>
        <v/>
      </c>
      <c r="E42" s="62">
        <f>E41*(1+INDEX(Settings!$E$13:$E$16,MATCH(C42,Settings!$A$13:$A$16,0)))+D42</f>
        <v/>
      </c>
      <c r="F42" s="62">
        <f>F41*(1+INDEX(Settings!$I$13:$I$16,MATCH(C42,Settings!$A$13:$A$16,0)))+D42</f>
        <v/>
      </c>
      <c r="G42" s="62">
        <f>G41*(1+INDEX(Settings!$J$13:$J$16,MATCH(C42,Settings!$A$13:$A$16,0)))+D42</f>
        <v/>
      </c>
    </row>
    <row r="43">
      <c r="A43" s="45" t="n">
        <v>39</v>
      </c>
      <c r="B43" s="67">
        <f>Dashboard!$C$5+(39-1)/12</f>
        <v/>
      </c>
      <c r="C43" s="27">
        <f>INDEX(Dashboard!$C$14:$C$21,MIN(8,INT((39-1)/60)+1))</f>
        <v/>
      </c>
      <c r="D43" s="62">
        <f>MIN(Dashboard!$C$9,INDEX(Settings!$B$19:$B$58,MIN(40,INT((39-1)/12)+1)))</f>
        <v/>
      </c>
      <c r="E43" s="62">
        <f>E42*(1+INDEX(Settings!$E$13:$E$16,MATCH(C43,Settings!$A$13:$A$16,0)))+D43</f>
        <v/>
      </c>
      <c r="F43" s="62">
        <f>F42*(1+INDEX(Settings!$I$13:$I$16,MATCH(C43,Settings!$A$13:$A$16,0)))+D43</f>
        <v/>
      </c>
      <c r="G43" s="62">
        <f>G42*(1+INDEX(Settings!$J$13:$J$16,MATCH(C43,Settings!$A$13:$A$16,0)))+D43</f>
        <v/>
      </c>
    </row>
    <row r="44">
      <c r="A44" s="45" t="n">
        <v>40</v>
      </c>
      <c r="B44" s="67">
        <f>Dashboard!$C$5+(40-1)/12</f>
        <v/>
      </c>
      <c r="C44" s="27">
        <f>INDEX(Dashboard!$C$14:$C$21,MIN(8,INT((40-1)/60)+1))</f>
        <v/>
      </c>
      <c r="D44" s="62">
        <f>MIN(Dashboard!$C$9,INDEX(Settings!$B$19:$B$58,MIN(40,INT((40-1)/12)+1)))</f>
        <v/>
      </c>
      <c r="E44" s="62">
        <f>E43*(1+INDEX(Settings!$E$13:$E$16,MATCH(C44,Settings!$A$13:$A$16,0)))+D44</f>
        <v/>
      </c>
      <c r="F44" s="62">
        <f>F43*(1+INDEX(Settings!$I$13:$I$16,MATCH(C44,Settings!$A$13:$A$16,0)))+D44</f>
        <v/>
      </c>
      <c r="G44" s="62">
        <f>G43*(1+INDEX(Settings!$J$13:$J$16,MATCH(C44,Settings!$A$13:$A$16,0)))+D44</f>
        <v/>
      </c>
    </row>
    <row r="45">
      <c r="A45" s="45" t="n">
        <v>41</v>
      </c>
      <c r="B45" s="67">
        <f>Dashboard!$C$5+(41-1)/12</f>
        <v/>
      </c>
      <c r="C45" s="27">
        <f>INDEX(Dashboard!$C$14:$C$21,MIN(8,INT((41-1)/60)+1))</f>
        <v/>
      </c>
      <c r="D45" s="62">
        <f>MIN(Dashboard!$C$9,INDEX(Settings!$B$19:$B$58,MIN(40,INT((41-1)/12)+1)))</f>
        <v/>
      </c>
      <c r="E45" s="62">
        <f>E44*(1+INDEX(Settings!$E$13:$E$16,MATCH(C45,Settings!$A$13:$A$16,0)))+D45</f>
        <v/>
      </c>
      <c r="F45" s="62">
        <f>F44*(1+INDEX(Settings!$I$13:$I$16,MATCH(C45,Settings!$A$13:$A$16,0)))+D45</f>
        <v/>
      </c>
      <c r="G45" s="62">
        <f>G44*(1+INDEX(Settings!$J$13:$J$16,MATCH(C45,Settings!$A$13:$A$16,0)))+D45</f>
        <v/>
      </c>
    </row>
    <row r="46">
      <c r="A46" s="45" t="n">
        <v>42</v>
      </c>
      <c r="B46" s="67">
        <f>Dashboard!$C$5+(42-1)/12</f>
        <v/>
      </c>
      <c r="C46" s="27">
        <f>INDEX(Dashboard!$C$14:$C$21,MIN(8,INT((42-1)/60)+1))</f>
        <v/>
      </c>
      <c r="D46" s="62">
        <f>MIN(Dashboard!$C$9,INDEX(Settings!$B$19:$B$58,MIN(40,INT((42-1)/12)+1)))</f>
        <v/>
      </c>
      <c r="E46" s="62">
        <f>E45*(1+INDEX(Settings!$E$13:$E$16,MATCH(C46,Settings!$A$13:$A$16,0)))+D46</f>
        <v/>
      </c>
      <c r="F46" s="62">
        <f>F45*(1+INDEX(Settings!$I$13:$I$16,MATCH(C46,Settings!$A$13:$A$16,0)))+D46</f>
        <v/>
      </c>
      <c r="G46" s="62">
        <f>G45*(1+INDEX(Settings!$J$13:$J$16,MATCH(C46,Settings!$A$13:$A$16,0)))+D46</f>
        <v/>
      </c>
    </row>
    <row r="47">
      <c r="A47" s="45" t="n">
        <v>43</v>
      </c>
      <c r="B47" s="67">
        <f>Dashboard!$C$5+(43-1)/12</f>
        <v/>
      </c>
      <c r="C47" s="27">
        <f>INDEX(Dashboard!$C$14:$C$21,MIN(8,INT((43-1)/60)+1))</f>
        <v/>
      </c>
      <c r="D47" s="62">
        <f>MIN(Dashboard!$C$9,INDEX(Settings!$B$19:$B$58,MIN(40,INT((43-1)/12)+1)))</f>
        <v/>
      </c>
      <c r="E47" s="62">
        <f>E46*(1+INDEX(Settings!$E$13:$E$16,MATCH(C47,Settings!$A$13:$A$16,0)))+D47</f>
        <v/>
      </c>
      <c r="F47" s="62">
        <f>F46*(1+INDEX(Settings!$I$13:$I$16,MATCH(C47,Settings!$A$13:$A$16,0)))+D47</f>
        <v/>
      </c>
      <c r="G47" s="62">
        <f>G46*(1+INDEX(Settings!$J$13:$J$16,MATCH(C47,Settings!$A$13:$A$16,0)))+D47</f>
        <v/>
      </c>
    </row>
    <row r="48">
      <c r="A48" s="45" t="n">
        <v>44</v>
      </c>
      <c r="B48" s="67">
        <f>Dashboard!$C$5+(44-1)/12</f>
        <v/>
      </c>
      <c r="C48" s="27">
        <f>INDEX(Dashboard!$C$14:$C$21,MIN(8,INT((44-1)/60)+1))</f>
        <v/>
      </c>
      <c r="D48" s="62">
        <f>MIN(Dashboard!$C$9,INDEX(Settings!$B$19:$B$58,MIN(40,INT((44-1)/12)+1)))</f>
        <v/>
      </c>
      <c r="E48" s="62">
        <f>E47*(1+INDEX(Settings!$E$13:$E$16,MATCH(C48,Settings!$A$13:$A$16,0)))+D48</f>
        <v/>
      </c>
      <c r="F48" s="62">
        <f>F47*(1+INDEX(Settings!$I$13:$I$16,MATCH(C48,Settings!$A$13:$A$16,0)))+D48</f>
        <v/>
      </c>
      <c r="G48" s="62">
        <f>G47*(1+INDEX(Settings!$J$13:$J$16,MATCH(C48,Settings!$A$13:$A$16,0)))+D48</f>
        <v/>
      </c>
    </row>
    <row r="49">
      <c r="A49" s="45" t="n">
        <v>45</v>
      </c>
      <c r="B49" s="67">
        <f>Dashboard!$C$5+(45-1)/12</f>
        <v/>
      </c>
      <c r="C49" s="27">
        <f>INDEX(Dashboard!$C$14:$C$21,MIN(8,INT((45-1)/60)+1))</f>
        <v/>
      </c>
      <c r="D49" s="62">
        <f>MIN(Dashboard!$C$9,INDEX(Settings!$B$19:$B$58,MIN(40,INT((45-1)/12)+1)))</f>
        <v/>
      </c>
      <c r="E49" s="62">
        <f>E48*(1+INDEX(Settings!$E$13:$E$16,MATCH(C49,Settings!$A$13:$A$16,0)))+D49</f>
        <v/>
      </c>
      <c r="F49" s="62">
        <f>F48*(1+INDEX(Settings!$I$13:$I$16,MATCH(C49,Settings!$A$13:$A$16,0)))+D49</f>
        <v/>
      </c>
      <c r="G49" s="62">
        <f>G48*(1+INDEX(Settings!$J$13:$J$16,MATCH(C49,Settings!$A$13:$A$16,0)))+D49</f>
        <v/>
      </c>
    </row>
    <row r="50">
      <c r="A50" s="45" t="n">
        <v>46</v>
      </c>
      <c r="B50" s="67">
        <f>Dashboard!$C$5+(46-1)/12</f>
        <v/>
      </c>
      <c r="C50" s="27">
        <f>INDEX(Dashboard!$C$14:$C$21,MIN(8,INT((46-1)/60)+1))</f>
        <v/>
      </c>
      <c r="D50" s="62">
        <f>MIN(Dashboard!$C$9,INDEX(Settings!$B$19:$B$58,MIN(40,INT((46-1)/12)+1)))</f>
        <v/>
      </c>
      <c r="E50" s="62">
        <f>E49*(1+INDEX(Settings!$E$13:$E$16,MATCH(C50,Settings!$A$13:$A$16,0)))+D50</f>
        <v/>
      </c>
      <c r="F50" s="62">
        <f>F49*(1+INDEX(Settings!$I$13:$I$16,MATCH(C50,Settings!$A$13:$A$16,0)))+D50</f>
        <v/>
      </c>
      <c r="G50" s="62">
        <f>G49*(1+INDEX(Settings!$J$13:$J$16,MATCH(C50,Settings!$A$13:$A$16,0)))+D50</f>
        <v/>
      </c>
    </row>
    <row r="51">
      <c r="A51" s="45" t="n">
        <v>47</v>
      </c>
      <c r="B51" s="67">
        <f>Dashboard!$C$5+(47-1)/12</f>
        <v/>
      </c>
      <c r="C51" s="27">
        <f>INDEX(Dashboard!$C$14:$C$21,MIN(8,INT((47-1)/60)+1))</f>
        <v/>
      </c>
      <c r="D51" s="62">
        <f>MIN(Dashboard!$C$9,INDEX(Settings!$B$19:$B$58,MIN(40,INT((47-1)/12)+1)))</f>
        <v/>
      </c>
      <c r="E51" s="62">
        <f>E50*(1+INDEX(Settings!$E$13:$E$16,MATCH(C51,Settings!$A$13:$A$16,0)))+D51</f>
        <v/>
      </c>
      <c r="F51" s="62">
        <f>F50*(1+INDEX(Settings!$I$13:$I$16,MATCH(C51,Settings!$A$13:$A$16,0)))+D51</f>
        <v/>
      </c>
      <c r="G51" s="62">
        <f>G50*(1+INDEX(Settings!$J$13:$J$16,MATCH(C51,Settings!$A$13:$A$16,0)))+D51</f>
        <v/>
      </c>
    </row>
    <row r="52">
      <c r="A52" s="45" t="n">
        <v>48</v>
      </c>
      <c r="B52" s="67">
        <f>Dashboard!$C$5+(48-1)/12</f>
        <v/>
      </c>
      <c r="C52" s="27">
        <f>INDEX(Dashboard!$C$14:$C$21,MIN(8,INT((48-1)/60)+1))</f>
        <v/>
      </c>
      <c r="D52" s="62">
        <f>MIN(Dashboard!$C$9,INDEX(Settings!$B$19:$B$58,MIN(40,INT((48-1)/12)+1)))</f>
        <v/>
      </c>
      <c r="E52" s="62">
        <f>E51*(1+INDEX(Settings!$E$13:$E$16,MATCH(C52,Settings!$A$13:$A$16,0)))+D52</f>
        <v/>
      </c>
      <c r="F52" s="62">
        <f>F51*(1+INDEX(Settings!$I$13:$I$16,MATCH(C52,Settings!$A$13:$A$16,0)))+D52</f>
        <v/>
      </c>
      <c r="G52" s="62">
        <f>G51*(1+INDEX(Settings!$J$13:$J$16,MATCH(C52,Settings!$A$13:$A$16,0)))+D52</f>
        <v/>
      </c>
    </row>
    <row r="53">
      <c r="A53" s="45" t="n">
        <v>49</v>
      </c>
      <c r="B53" s="67">
        <f>Dashboard!$C$5+(49-1)/12</f>
        <v/>
      </c>
      <c r="C53" s="27">
        <f>INDEX(Dashboard!$C$14:$C$21,MIN(8,INT((49-1)/60)+1))</f>
        <v/>
      </c>
      <c r="D53" s="62">
        <f>MIN(Dashboard!$C$9,INDEX(Settings!$B$19:$B$58,MIN(40,INT((49-1)/12)+1)))</f>
        <v/>
      </c>
      <c r="E53" s="62">
        <f>E52*(1+INDEX(Settings!$E$13:$E$16,MATCH(C53,Settings!$A$13:$A$16,0)))+D53</f>
        <v/>
      </c>
      <c r="F53" s="62">
        <f>F52*(1+INDEX(Settings!$I$13:$I$16,MATCH(C53,Settings!$A$13:$A$16,0)))+D53</f>
        <v/>
      </c>
      <c r="G53" s="62">
        <f>G52*(1+INDEX(Settings!$J$13:$J$16,MATCH(C53,Settings!$A$13:$A$16,0)))+D53</f>
        <v/>
      </c>
    </row>
    <row r="54">
      <c r="A54" s="45" t="n">
        <v>50</v>
      </c>
      <c r="B54" s="67">
        <f>Dashboard!$C$5+(50-1)/12</f>
        <v/>
      </c>
      <c r="C54" s="27">
        <f>INDEX(Dashboard!$C$14:$C$21,MIN(8,INT((50-1)/60)+1))</f>
        <v/>
      </c>
      <c r="D54" s="62">
        <f>MIN(Dashboard!$C$9,INDEX(Settings!$B$19:$B$58,MIN(40,INT((50-1)/12)+1)))</f>
        <v/>
      </c>
      <c r="E54" s="62">
        <f>E53*(1+INDEX(Settings!$E$13:$E$16,MATCH(C54,Settings!$A$13:$A$16,0)))+D54</f>
        <v/>
      </c>
      <c r="F54" s="62">
        <f>F53*(1+INDEX(Settings!$I$13:$I$16,MATCH(C54,Settings!$A$13:$A$16,0)))+D54</f>
        <v/>
      </c>
      <c r="G54" s="62">
        <f>G53*(1+INDEX(Settings!$J$13:$J$16,MATCH(C54,Settings!$A$13:$A$16,0)))+D54</f>
        <v/>
      </c>
    </row>
    <row r="55">
      <c r="A55" s="45" t="n">
        <v>51</v>
      </c>
      <c r="B55" s="67">
        <f>Dashboard!$C$5+(51-1)/12</f>
        <v/>
      </c>
      <c r="C55" s="27">
        <f>INDEX(Dashboard!$C$14:$C$21,MIN(8,INT((51-1)/60)+1))</f>
        <v/>
      </c>
      <c r="D55" s="62">
        <f>MIN(Dashboard!$C$9,INDEX(Settings!$B$19:$B$58,MIN(40,INT((51-1)/12)+1)))</f>
        <v/>
      </c>
      <c r="E55" s="62">
        <f>E54*(1+INDEX(Settings!$E$13:$E$16,MATCH(C55,Settings!$A$13:$A$16,0)))+D55</f>
        <v/>
      </c>
      <c r="F55" s="62">
        <f>F54*(1+INDEX(Settings!$I$13:$I$16,MATCH(C55,Settings!$A$13:$A$16,0)))+D55</f>
        <v/>
      </c>
      <c r="G55" s="62">
        <f>G54*(1+INDEX(Settings!$J$13:$J$16,MATCH(C55,Settings!$A$13:$A$16,0)))+D55</f>
        <v/>
      </c>
    </row>
    <row r="56">
      <c r="A56" s="45" t="n">
        <v>52</v>
      </c>
      <c r="B56" s="67">
        <f>Dashboard!$C$5+(52-1)/12</f>
        <v/>
      </c>
      <c r="C56" s="27">
        <f>INDEX(Dashboard!$C$14:$C$21,MIN(8,INT((52-1)/60)+1))</f>
        <v/>
      </c>
      <c r="D56" s="62">
        <f>MIN(Dashboard!$C$9,INDEX(Settings!$B$19:$B$58,MIN(40,INT((52-1)/12)+1)))</f>
        <v/>
      </c>
      <c r="E56" s="62">
        <f>E55*(1+INDEX(Settings!$E$13:$E$16,MATCH(C56,Settings!$A$13:$A$16,0)))+D56</f>
        <v/>
      </c>
      <c r="F56" s="62">
        <f>F55*(1+INDEX(Settings!$I$13:$I$16,MATCH(C56,Settings!$A$13:$A$16,0)))+D56</f>
        <v/>
      </c>
      <c r="G56" s="62">
        <f>G55*(1+INDEX(Settings!$J$13:$J$16,MATCH(C56,Settings!$A$13:$A$16,0)))+D56</f>
        <v/>
      </c>
    </row>
    <row r="57">
      <c r="A57" s="45" t="n">
        <v>53</v>
      </c>
      <c r="B57" s="67">
        <f>Dashboard!$C$5+(53-1)/12</f>
        <v/>
      </c>
      <c r="C57" s="27">
        <f>INDEX(Dashboard!$C$14:$C$21,MIN(8,INT((53-1)/60)+1))</f>
        <v/>
      </c>
      <c r="D57" s="62">
        <f>MIN(Dashboard!$C$9,INDEX(Settings!$B$19:$B$58,MIN(40,INT((53-1)/12)+1)))</f>
        <v/>
      </c>
      <c r="E57" s="62">
        <f>E56*(1+INDEX(Settings!$E$13:$E$16,MATCH(C57,Settings!$A$13:$A$16,0)))+D57</f>
        <v/>
      </c>
      <c r="F57" s="62">
        <f>F56*(1+INDEX(Settings!$I$13:$I$16,MATCH(C57,Settings!$A$13:$A$16,0)))+D57</f>
        <v/>
      </c>
      <c r="G57" s="62">
        <f>G56*(1+INDEX(Settings!$J$13:$J$16,MATCH(C57,Settings!$A$13:$A$16,0)))+D57</f>
        <v/>
      </c>
    </row>
    <row r="58">
      <c r="A58" s="45" t="n">
        <v>54</v>
      </c>
      <c r="B58" s="67">
        <f>Dashboard!$C$5+(54-1)/12</f>
        <v/>
      </c>
      <c r="C58" s="27">
        <f>INDEX(Dashboard!$C$14:$C$21,MIN(8,INT((54-1)/60)+1))</f>
        <v/>
      </c>
      <c r="D58" s="62">
        <f>MIN(Dashboard!$C$9,INDEX(Settings!$B$19:$B$58,MIN(40,INT((54-1)/12)+1)))</f>
        <v/>
      </c>
      <c r="E58" s="62">
        <f>E57*(1+INDEX(Settings!$E$13:$E$16,MATCH(C58,Settings!$A$13:$A$16,0)))+D58</f>
        <v/>
      </c>
      <c r="F58" s="62">
        <f>F57*(1+INDEX(Settings!$I$13:$I$16,MATCH(C58,Settings!$A$13:$A$16,0)))+D58</f>
        <v/>
      </c>
      <c r="G58" s="62">
        <f>G57*(1+INDEX(Settings!$J$13:$J$16,MATCH(C58,Settings!$A$13:$A$16,0)))+D58</f>
        <v/>
      </c>
    </row>
    <row r="59">
      <c r="A59" s="45" t="n">
        <v>55</v>
      </c>
      <c r="B59" s="67">
        <f>Dashboard!$C$5+(55-1)/12</f>
        <v/>
      </c>
      <c r="C59" s="27">
        <f>INDEX(Dashboard!$C$14:$C$21,MIN(8,INT((55-1)/60)+1))</f>
        <v/>
      </c>
      <c r="D59" s="62">
        <f>MIN(Dashboard!$C$9,INDEX(Settings!$B$19:$B$58,MIN(40,INT((55-1)/12)+1)))</f>
        <v/>
      </c>
      <c r="E59" s="62">
        <f>E58*(1+INDEX(Settings!$E$13:$E$16,MATCH(C59,Settings!$A$13:$A$16,0)))+D59</f>
        <v/>
      </c>
      <c r="F59" s="62">
        <f>F58*(1+INDEX(Settings!$I$13:$I$16,MATCH(C59,Settings!$A$13:$A$16,0)))+D59</f>
        <v/>
      </c>
      <c r="G59" s="62">
        <f>G58*(1+INDEX(Settings!$J$13:$J$16,MATCH(C59,Settings!$A$13:$A$16,0)))+D59</f>
        <v/>
      </c>
    </row>
    <row r="60">
      <c r="A60" s="45" t="n">
        <v>56</v>
      </c>
      <c r="B60" s="67">
        <f>Dashboard!$C$5+(56-1)/12</f>
        <v/>
      </c>
      <c r="C60" s="27">
        <f>INDEX(Dashboard!$C$14:$C$21,MIN(8,INT((56-1)/60)+1))</f>
        <v/>
      </c>
      <c r="D60" s="62">
        <f>MIN(Dashboard!$C$9,INDEX(Settings!$B$19:$B$58,MIN(40,INT((56-1)/12)+1)))</f>
        <v/>
      </c>
      <c r="E60" s="62">
        <f>E59*(1+INDEX(Settings!$E$13:$E$16,MATCH(C60,Settings!$A$13:$A$16,0)))+D60</f>
        <v/>
      </c>
      <c r="F60" s="62">
        <f>F59*(1+INDEX(Settings!$I$13:$I$16,MATCH(C60,Settings!$A$13:$A$16,0)))+D60</f>
        <v/>
      </c>
      <c r="G60" s="62">
        <f>G59*(1+INDEX(Settings!$J$13:$J$16,MATCH(C60,Settings!$A$13:$A$16,0)))+D60</f>
        <v/>
      </c>
    </row>
    <row r="61">
      <c r="A61" s="45" t="n">
        <v>57</v>
      </c>
      <c r="B61" s="67">
        <f>Dashboard!$C$5+(57-1)/12</f>
        <v/>
      </c>
      <c r="C61" s="27">
        <f>INDEX(Dashboard!$C$14:$C$21,MIN(8,INT((57-1)/60)+1))</f>
        <v/>
      </c>
      <c r="D61" s="62">
        <f>MIN(Dashboard!$C$9,INDEX(Settings!$B$19:$B$58,MIN(40,INT((57-1)/12)+1)))</f>
        <v/>
      </c>
      <c r="E61" s="62">
        <f>E60*(1+INDEX(Settings!$E$13:$E$16,MATCH(C61,Settings!$A$13:$A$16,0)))+D61</f>
        <v/>
      </c>
      <c r="F61" s="62">
        <f>F60*(1+INDEX(Settings!$I$13:$I$16,MATCH(C61,Settings!$A$13:$A$16,0)))+D61</f>
        <v/>
      </c>
      <c r="G61" s="62">
        <f>G60*(1+INDEX(Settings!$J$13:$J$16,MATCH(C61,Settings!$A$13:$A$16,0)))+D61</f>
        <v/>
      </c>
    </row>
    <row r="62">
      <c r="A62" s="45" t="n">
        <v>58</v>
      </c>
      <c r="B62" s="67">
        <f>Dashboard!$C$5+(58-1)/12</f>
        <v/>
      </c>
      <c r="C62" s="27">
        <f>INDEX(Dashboard!$C$14:$C$21,MIN(8,INT((58-1)/60)+1))</f>
        <v/>
      </c>
      <c r="D62" s="62">
        <f>MIN(Dashboard!$C$9,INDEX(Settings!$B$19:$B$58,MIN(40,INT((58-1)/12)+1)))</f>
        <v/>
      </c>
      <c r="E62" s="62">
        <f>E61*(1+INDEX(Settings!$E$13:$E$16,MATCH(C62,Settings!$A$13:$A$16,0)))+D62</f>
        <v/>
      </c>
      <c r="F62" s="62">
        <f>F61*(1+INDEX(Settings!$I$13:$I$16,MATCH(C62,Settings!$A$13:$A$16,0)))+D62</f>
        <v/>
      </c>
      <c r="G62" s="62">
        <f>G61*(1+INDEX(Settings!$J$13:$J$16,MATCH(C62,Settings!$A$13:$A$16,0)))+D62</f>
        <v/>
      </c>
    </row>
    <row r="63">
      <c r="A63" s="45" t="n">
        <v>59</v>
      </c>
      <c r="B63" s="67">
        <f>Dashboard!$C$5+(59-1)/12</f>
        <v/>
      </c>
      <c r="C63" s="27">
        <f>INDEX(Dashboard!$C$14:$C$21,MIN(8,INT((59-1)/60)+1))</f>
        <v/>
      </c>
      <c r="D63" s="62">
        <f>MIN(Dashboard!$C$9,INDEX(Settings!$B$19:$B$58,MIN(40,INT((59-1)/12)+1)))</f>
        <v/>
      </c>
      <c r="E63" s="62">
        <f>E62*(1+INDEX(Settings!$E$13:$E$16,MATCH(C63,Settings!$A$13:$A$16,0)))+D63</f>
        <v/>
      </c>
      <c r="F63" s="62">
        <f>F62*(1+INDEX(Settings!$I$13:$I$16,MATCH(C63,Settings!$A$13:$A$16,0)))+D63</f>
        <v/>
      </c>
      <c r="G63" s="62">
        <f>G62*(1+INDEX(Settings!$J$13:$J$16,MATCH(C63,Settings!$A$13:$A$16,0)))+D63</f>
        <v/>
      </c>
    </row>
    <row r="64">
      <c r="A64" s="45" t="n">
        <v>60</v>
      </c>
      <c r="B64" s="67">
        <f>Dashboard!$C$5+(60-1)/12</f>
        <v/>
      </c>
      <c r="C64" s="27">
        <f>INDEX(Dashboard!$C$14:$C$21,MIN(8,INT((60-1)/60)+1))</f>
        <v/>
      </c>
      <c r="D64" s="62">
        <f>MIN(Dashboard!$C$9,INDEX(Settings!$B$19:$B$58,MIN(40,INT((60-1)/12)+1)))</f>
        <v/>
      </c>
      <c r="E64" s="62">
        <f>E63*(1+INDEX(Settings!$E$13:$E$16,MATCH(C64,Settings!$A$13:$A$16,0)))+D64</f>
        <v/>
      </c>
      <c r="F64" s="62">
        <f>F63*(1+INDEX(Settings!$I$13:$I$16,MATCH(C64,Settings!$A$13:$A$16,0)))+D64</f>
        <v/>
      </c>
      <c r="G64" s="62">
        <f>G63*(1+INDEX(Settings!$J$13:$J$16,MATCH(C64,Settings!$A$13:$A$16,0)))+D64</f>
        <v/>
      </c>
    </row>
    <row r="65">
      <c r="A65" s="45" t="n">
        <v>61</v>
      </c>
      <c r="B65" s="67">
        <f>Dashboard!$C$5+(61-1)/12</f>
        <v/>
      </c>
      <c r="C65" s="27">
        <f>INDEX(Dashboard!$C$14:$C$21,MIN(8,INT((61-1)/60)+1))</f>
        <v/>
      </c>
      <c r="D65" s="62">
        <f>MIN(Dashboard!$C$9,INDEX(Settings!$B$19:$B$58,MIN(40,INT((61-1)/12)+1)))</f>
        <v/>
      </c>
      <c r="E65" s="62">
        <f>E64*(1+INDEX(Settings!$E$13:$E$16,MATCH(C65,Settings!$A$13:$A$16,0)))+D65</f>
        <v/>
      </c>
      <c r="F65" s="62">
        <f>F64*(1+INDEX(Settings!$I$13:$I$16,MATCH(C65,Settings!$A$13:$A$16,0)))+D65</f>
        <v/>
      </c>
      <c r="G65" s="62">
        <f>G64*(1+INDEX(Settings!$J$13:$J$16,MATCH(C65,Settings!$A$13:$A$16,0)))+D65</f>
        <v/>
      </c>
    </row>
    <row r="66">
      <c r="A66" s="45" t="n">
        <v>62</v>
      </c>
      <c r="B66" s="67">
        <f>Dashboard!$C$5+(62-1)/12</f>
        <v/>
      </c>
      <c r="C66" s="27">
        <f>INDEX(Dashboard!$C$14:$C$21,MIN(8,INT((62-1)/60)+1))</f>
        <v/>
      </c>
      <c r="D66" s="62">
        <f>MIN(Dashboard!$C$9,INDEX(Settings!$B$19:$B$58,MIN(40,INT((62-1)/12)+1)))</f>
        <v/>
      </c>
      <c r="E66" s="62">
        <f>E65*(1+INDEX(Settings!$E$13:$E$16,MATCH(C66,Settings!$A$13:$A$16,0)))+D66</f>
        <v/>
      </c>
      <c r="F66" s="62">
        <f>F65*(1+INDEX(Settings!$I$13:$I$16,MATCH(C66,Settings!$A$13:$A$16,0)))+D66</f>
        <v/>
      </c>
      <c r="G66" s="62">
        <f>G65*(1+INDEX(Settings!$J$13:$J$16,MATCH(C66,Settings!$A$13:$A$16,0)))+D66</f>
        <v/>
      </c>
    </row>
    <row r="67">
      <c r="A67" s="45" t="n">
        <v>63</v>
      </c>
      <c r="B67" s="67">
        <f>Dashboard!$C$5+(63-1)/12</f>
        <v/>
      </c>
      <c r="C67" s="27">
        <f>INDEX(Dashboard!$C$14:$C$21,MIN(8,INT((63-1)/60)+1))</f>
        <v/>
      </c>
      <c r="D67" s="62">
        <f>MIN(Dashboard!$C$9,INDEX(Settings!$B$19:$B$58,MIN(40,INT((63-1)/12)+1)))</f>
        <v/>
      </c>
      <c r="E67" s="62">
        <f>E66*(1+INDEX(Settings!$E$13:$E$16,MATCH(C67,Settings!$A$13:$A$16,0)))+D67</f>
        <v/>
      </c>
      <c r="F67" s="62">
        <f>F66*(1+INDEX(Settings!$I$13:$I$16,MATCH(C67,Settings!$A$13:$A$16,0)))+D67</f>
        <v/>
      </c>
      <c r="G67" s="62">
        <f>G66*(1+INDEX(Settings!$J$13:$J$16,MATCH(C67,Settings!$A$13:$A$16,0)))+D67</f>
        <v/>
      </c>
    </row>
    <row r="68">
      <c r="A68" s="45" t="n">
        <v>64</v>
      </c>
      <c r="B68" s="67">
        <f>Dashboard!$C$5+(64-1)/12</f>
        <v/>
      </c>
      <c r="C68" s="27">
        <f>INDEX(Dashboard!$C$14:$C$21,MIN(8,INT((64-1)/60)+1))</f>
        <v/>
      </c>
      <c r="D68" s="62">
        <f>MIN(Dashboard!$C$9,INDEX(Settings!$B$19:$B$58,MIN(40,INT((64-1)/12)+1)))</f>
        <v/>
      </c>
      <c r="E68" s="62">
        <f>E67*(1+INDEX(Settings!$E$13:$E$16,MATCH(C68,Settings!$A$13:$A$16,0)))+D68</f>
        <v/>
      </c>
      <c r="F68" s="62">
        <f>F67*(1+INDEX(Settings!$I$13:$I$16,MATCH(C68,Settings!$A$13:$A$16,0)))+D68</f>
        <v/>
      </c>
      <c r="G68" s="62">
        <f>G67*(1+INDEX(Settings!$J$13:$J$16,MATCH(C68,Settings!$A$13:$A$16,0)))+D68</f>
        <v/>
      </c>
    </row>
    <row r="69">
      <c r="A69" s="45" t="n">
        <v>65</v>
      </c>
      <c r="B69" s="67">
        <f>Dashboard!$C$5+(65-1)/12</f>
        <v/>
      </c>
      <c r="C69" s="27">
        <f>INDEX(Dashboard!$C$14:$C$21,MIN(8,INT((65-1)/60)+1))</f>
        <v/>
      </c>
      <c r="D69" s="62">
        <f>MIN(Dashboard!$C$9,INDEX(Settings!$B$19:$B$58,MIN(40,INT((65-1)/12)+1)))</f>
        <v/>
      </c>
      <c r="E69" s="62">
        <f>E68*(1+INDEX(Settings!$E$13:$E$16,MATCH(C69,Settings!$A$13:$A$16,0)))+D69</f>
        <v/>
      </c>
      <c r="F69" s="62">
        <f>F68*(1+INDEX(Settings!$I$13:$I$16,MATCH(C69,Settings!$A$13:$A$16,0)))+D69</f>
        <v/>
      </c>
      <c r="G69" s="62">
        <f>G68*(1+INDEX(Settings!$J$13:$J$16,MATCH(C69,Settings!$A$13:$A$16,0)))+D69</f>
        <v/>
      </c>
    </row>
    <row r="70">
      <c r="A70" s="45" t="n">
        <v>66</v>
      </c>
      <c r="B70" s="67">
        <f>Dashboard!$C$5+(66-1)/12</f>
        <v/>
      </c>
      <c r="C70" s="27">
        <f>INDEX(Dashboard!$C$14:$C$21,MIN(8,INT((66-1)/60)+1))</f>
        <v/>
      </c>
      <c r="D70" s="62">
        <f>MIN(Dashboard!$C$9,INDEX(Settings!$B$19:$B$58,MIN(40,INT((66-1)/12)+1)))</f>
        <v/>
      </c>
      <c r="E70" s="62">
        <f>E69*(1+INDEX(Settings!$E$13:$E$16,MATCH(C70,Settings!$A$13:$A$16,0)))+D70</f>
        <v/>
      </c>
      <c r="F70" s="62">
        <f>F69*(1+INDEX(Settings!$I$13:$I$16,MATCH(C70,Settings!$A$13:$A$16,0)))+D70</f>
        <v/>
      </c>
      <c r="G70" s="62">
        <f>G69*(1+INDEX(Settings!$J$13:$J$16,MATCH(C70,Settings!$A$13:$A$16,0)))+D70</f>
        <v/>
      </c>
    </row>
    <row r="71">
      <c r="A71" s="45" t="n">
        <v>67</v>
      </c>
      <c r="B71" s="67">
        <f>Dashboard!$C$5+(67-1)/12</f>
        <v/>
      </c>
      <c r="C71" s="27">
        <f>INDEX(Dashboard!$C$14:$C$21,MIN(8,INT((67-1)/60)+1))</f>
        <v/>
      </c>
      <c r="D71" s="62">
        <f>MIN(Dashboard!$C$9,INDEX(Settings!$B$19:$B$58,MIN(40,INT((67-1)/12)+1)))</f>
        <v/>
      </c>
      <c r="E71" s="62">
        <f>E70*(1+INDEX(Settings!$E$13:$E$16,MATCH(C71,Settings!$A$13:$A$16,0)))+D71</f>
        <v/>
      </c>
      <c r="F71" s="62">
        <f>F70*(1+INDEX(Settings!$I$13:$I$16,MATCH(C71,Settings!$A$13:$A$16,0)))+D71</f>
        <v/>
      </c>
      <c r="G71" s="62">
        <f>G70*(1+INDEX(Settings!$J$13:$J$16,MATCH(C71,Settings!$A$13:$A$16,0)))+D71</f>
        <v/>
      </c>
    </row>
    <row r="72">
      <c r="A72" s="45" t="n">
        <v>68</v>
      </c>
      <c r="B72" s="67">
        <f>Dashboard!$C$5+(68-1)/12</f>
        <v/>
      </c>
      <c r="C72" s="27">
        <f>INDEX(Dashboard!$C$14:$C$21,MIN(8,INT((68-1)/60)+1))</f>
        <v/>
      </c>
      <c r="D72" s="62">
        <f>MIN(Dashboard!$C$9,INDEX(Settings!$B$19:$B$58,MIN(40,INT((68-1)/12)+1)))</f>
        <v/>
      </c>
      <c r="E72" s="62">
        <f>E71*(1+INDEX(Settings!$E$13:$E$16,MATCH(C72,Settings!$A$13:$A$16,0)))+D72</f>
        <v/>
      </c>
      <c r="F72" s="62">
        <f>F71*(1+INDEX(Settings!$I$13:$I$16,MATCH(C72,Settings!$A$13:$A$16,0)))+D72</f>
        <v/>
      </c>
      <c r="G72" s="62">
        <f>G71*(1+INDEX(Settings!$J$13:$J$16,MATCH(C72,Settings!$A$13:$A$16,0)))+D72</f>
        <v/>
      </c>
    </row>
    <row r="73">
      <c r="A73" s="45" t="n">
        <v>69</v>
      </c>
      <c r="B73" s="67">
        <f>Dashboard!$C$5+(69-1)/12</f>
        <v/>
      </c>
      <c r="C73" s="27">
        <f>INDEX(Dashboard!$C$14:$C$21,MIN(8,INT((69-1)/60)+1))</f>
        <v/>
      </c>
      <c r="D73" s="62">
        <f>MIN(Dashboard!$C$9,INDEX(Settings!$B$19:$B$58,MIN(40,INT((69-1)/12)+1)))</f>
        <v/>
      </c>
      <c r="E73" s="62">
        <f>E72*(1+INDEX(Settings!$E$13:$E$16,MATCH(C73,Settings!$A$13:$A$16,0)))+D73</f>
        <v/>
      </c>
      <c r="F73" s="62">
        <f>F72*(1+INDEX(Settings!$I$13:$I$16,MATCH(C73,Settings!$A$13:$A$16,0)))+D73</f>
        <v/>
      </c>
      <c r="G73" s="62">
        <f>G72*(1+INDEX(Settings!$J$13:$J$16,MATCH(C73,Settings!$A$13:$A$16,0)))+D73</f>
        <v/>
      </c>
    </row>
    <row r="74">
      <c r="A74" s="45" t="n">
        <v>70</v>
      </c>
      <c r="B74" s="67">
        <f>Dashboard!$C$5+(70-1)/12</f>
        <v/>
      </c>
      <c r="C74" s="27">
        <f>INDEX(Dashboard!$C$14:$C$21,MIN(8,INT((70-1)/60)+1))</f>
        <v/>
      </c>
      <c r="D74" s="62">
        <f>MIN(Dashboard!$C$9,INDEX(Settings!$B$19:$B$58,MIN(40,INT((70-1)/12)+1)))</f>
        <v/>
      </c>
      <c r="E74" s="62">
        <f>E73*(1+INDEX(Settings!$E$13:$E$16,MATCH(C74,Settings!$A$13:$A$16,0)))+D74</f>
        <v/>
      </c>
      <c r="F74" s="62">
        <f>F73*(1+INDEX(Settings!$I$13:$I$16,MATCH(C74,Settings!$A$13:$A$16,0)))+D74</f>
        <v/>
      </c>
      <c r="G74" s="62">
        <f>G73*(1+INDEX(Settings!$J$13:$J$16,MATCH(C74,Settings!$A$13:$A$16,0)))+D74</f>
        <v/>
      </c>
    </row>
    <row r="75">
      <c r="A75" s="45" t="n">
        <v>71</v>
      </c>
      <c r="B75" s="67">
        <f>Dashboard!$C$5+(71-1)/12</f>
        <v/>
      </c>
      <c r="C75" s="27">
        <f>INDEX(Dashboard!$C$14:$C$21,MIN(8,INT((71-1)/60)+1))</f>
        <v/>
      </c>
      <c r="D75" s="62">
        <f>MIN(Dashboard!$C$9,INDEX(Settings!$B$19:$B$58,MIN(40,INT((71-1)/12)+1)))</f>
        <v/>
      </c>
      <c r="E75" s="62">
        <f>E74*(1+INDEX(Settings!$E$13:$E$16,MATCH(C75,Settings!$A$13:$A$16,0)))+D75</f>
        <v/>
      </c>
      <c r="F75" s="62">
        <f>F74*(1+INDEX(Settings!$I$13:$I$16,MATCH(C75,Settings!$A$13:$A$16,0)))+D75</f>
        <v/>
      </c>
      <c r="G75" s="62">
        <f>G74*(1+INDEX(Settings!$J$13:$J$16,MATCH(C75,Settings!$A$13:$A$16,0)))+D75</f>
        <v/>
      </c>
    </row>
    <row r="76">
      <c r="A76" s="45" t="n">
        <v>72</v>
      </c>
      <c r="B76" s="67">
        <f>Dashboard!$C$5+(72-1)/12</f>
        <v/>
      </c>
      <c r="C76" s="27">
        <f>INDEX(Dashboard!$C$14:$C$21,MIN(8,INT((72-1)/60)+1))</f>
        <v/>
      </c>
      <c r="D76" s="62">
        <f>MIN(Dashboard!$C$9,INDEX(Settings!$B$19:$B$58,MIN(40,INT((72-1)/12)+1)))</f>
        <v/>
      </c>
      <c r="E76" s="62">
        <f>E75*(1+INDEX(Settings!$E$13:$E$16,MATCH(C76,Settings!$A$13:$A$16,0)))+D76</f>
        <v/>
      </c>
      <c r="F76" s="62">
        <f>F75*(1+INDEX(Settings!$I$13:$I$16,MATCH(C76,Settings!$A$13:$A$16,0)))+D76</f>
        <v/>
      </c>
      <c r="G76" s="62">
        <f>G75*(1+INDEX(Settings!$J$13:$J$16,MATCH(C76,Settings!$A$13:$A$16,0)))+D76</f>
        <v/>
      </c>
    </row>
    <row r="77">
      <c r="A77" s="45" t="n">
        <v>73</v>
      </c>
      <c r="B77" s="67">
        <f>Dashboard!$C$5+(73-1)/12</f>
        <v/>
      </c>
      <c r="C77" s="27">
        <f>INDEX(Dashboard!$C$14:$C$21,MIN(8,INT((73-1)/60)+1))</f>
        <v/>
      </c>
      <c r="D77" s="62">
        <f>MIN(Dashboard!$C$9,INDEX(Settings!$B$19:$B$58,MIN(40,INT((73-1)/12)+1)))</f>
        <v/>
      </c>
      <c r="E77" s="62">
        <f>E76*(1+INDEX(Settings!$E$13:$E$16,MATCH(C77,Settings!$A$13:$A$16,0)))+D77</f>
        <v/>
      </c>
      <c r="F77" s="62">
        <f>F76*(1+INDEX(Settings!$I$13:$I$16,MATCH(C77,Settings!$A$13:$A$16,0)))+D77</f>
        <v/>
      </c>
      <c r="G77" s="62">
        <f>G76*(1+INDEX(Settings!$J$13:$J$16,MATCH(C77,Settings!$A$13:$A$16,0)))+D77</f>
        <v/>
      </c>
    </row>
    <row r="78">
      <c r="A78" s="45" t="n">
        <v>74</v>
      </c>
      <c r="B78" s="67">
        <f>Dashboard!$C$5+(74-1)/12</f>
        <v/>
      </c>
      <c r="C78" s="27">
        <f>INDEX(Dashboard!$C$14:$C$21,MIN(8,INT((74-1)/60)+1))</f>
        <v/>
      </c>
      <c r="D78" s="62">
        <f>MIN(Dashboard!$C$9,INDEX(Settings!$B$19:$B$58,MIN(40,INT((74-1)/12)+1)))</f>
        <v/>
      </c>
      <c r="E78" s="62">
        <f>E77*(1+INDEX(Settings!$E$13:$E$16,MATCH(C78,Settings!$A$13:$A$16,0)))+D78</f>
        <v/>
      </c>
      <c r="F78" s="62">
        <f>F77*(1+INDEX(Settings!$I$13:$I$16,MATCH(C78,Settings!$A$13:$A$16,0)))+D78</f>
        <v/>
      </c>
      <c r="G78" s="62">
        <f>G77*(1+INDEX(Settings!$J$13:$J$16,MATCH(C78,Settings!$A$13:$A$16,0)))+D78</f>
        <v/>
      </c>
    </row>
    <row r="79">
      <c r="A79" s="45" t="n">
        <v>75</v>
      </c>
      <c r="B79" s="67">
        <f>Dashboard!$C$5+(75-1)/12</f>
        <v/>
      </c>
      <c r="C79" s="27">
        <f>INDEX(Dashboard!$C$14:$C$21,MIN(8,INT((75-1)/60)+1))</f>
        <v/>
      </c>
      <c r="D79" s="62">
        <f>MIN(Dashboard!$C$9,INDEX(Settings!$B$19:$B$58,MIN(40,INT((75-1)/12)+1)))</f>
        <v/>
      </c>
      <c r="E79" s="62">
        <f>E78*(1+INDEX(Settings!$E$13:$E$16,MATCH(C79,Settings!$A$13:$A$16,0)))+D79</f>
        <v/>
      </c>
      <c r="F79" s="62">
        <f>F78*(1+INDEX(Settings!$I$13:$I$16,MATCH(C79,Settings!$A$13:$A$16,0)))+D79</f>
        <v/>
      </c>
      <c r="G79" s="62">
        <f>G78*(1+INDEX(Settings!$J$13:$J$16,MATCH(C79,Settings!$A$13:$A$16,0)))+D79</f>
        <v/>
      </c>
    </row>
    <row r="80">
      <c r="A80" s="45" t="n">
        <v>76</v>
      </c>
      <c r="B80" s="67">
        <f>Dashboard!$C$5+(76-1)/12</f>
        <v/>
      </c>
      <c r="C80" s="27">
        <f>INDEX(Dashboard!$C$14:$C$21,MIN(8,INT((76-1)/60)+1))</f>
        <v/>
      </c>
      <c r="D80" s="62">
        <f>MIN(Dashboard!$C$9,INDEX(Settings!$B$19:$B$58,MIN(40,INT((76-1)/12)+1)))</f>
        <v/>
      </c>
      <c r="E80" s="62">
        <f>E79*(1+INDEX(Settings!$E$13:$E$16,MATCH(C80,Settings!$A$13:$A$16,0)))+D80</f>
        <v/>
      </c>
      <c r="F80" s="62">
        <f>F79*(1+INDEX(Settings!$I$13:$I$16,MATCH(C80,Settings!$A$13:$A$16,0)))+D80</f>
        <v/>
      </c>
      <c r="G80" s="62">
        <f>G79*(1+INDEX(Settings!$J$13:$J$16,MATCH(C80,Settings!$A$13:$A$16,0)))+D80</f>
        <v/>
      </c>
    </row>
    <row r="81">
      <c r="A81" s="45" t="n">
        <v>77</v>
      </c>
      <c r="B81" s="67">
        <f>Dashboard!$C$5+(77-1)/12</f>
        <v/>
      </c>
      <c r="C81" s="27">
        <f>INDEX(Dashboard!$C$14:$C$21,MIN(8,INT((77-1)/60)+1))</f>
        <v/>
      </c>
      <c r="D81" s="62">
        <f>MIN(Dashboard!$C$9,INDEX(Settings!$B$19:$B$58,MIN(40,INT((77-1)/12)+1)))</f>
        <v/>
      </c>
      <c r="E81" s="62">
        <f>E80*(1+INDEX(Settings!$E$13:$E$16,MATCH(C81,Settings!$A$13:$A$16,0)))+D81</f>
        <v/>
      </c>
      <c r="F81" s="62">
        <f>F80*(1+INDEX(Settings!$I$13:$I$16,MATCH(C81,Settings!$A$13:$A$16,0)))+D81</f>
        <v/>
      </c>
      <c r="G81" s="62">
        <f>G80*(1+INDEX(Settings!$J$13:$J$16,MATCH(C81,Settings!$A$13:$A$16,0)))+D81</f>
        <v/>
      </c>
    </row>
    <row r="82">
      <c r="A82" s="45" t="n">
        <v>78</v>
      </c>
      <c r="B82" s="67">
        <f>Dashboard!$C$5+(78-1)/12</f>
        <v/>
      </c>
      <c r="C82" s="27">
        <f>INDEX(Dashboard!$C$14:$C$21,MIN(8,INT((78-1)/60)+1))</f>
        <v/>
      </c>
      <c r="D82" s="62">
        <f>MIN(Dashboard!$C$9,INDEX(Settings!$B$19:$B$58,MIN(40,INT((78-1)/12)+1)))</f>
        <v/>
      </c>
      <c r="E82" s="62">
        <f>E81*(1+INDEX(Settings!$E$13:$E$16,MATCH(C82,Settings!$A$13:$A$16,0)))+D82</f>
        <v/>
      </c>
      <c r="F82" s="62">
        <f>F81*(1+INDEX(Settings!$I$13:$I$16,MATCH(C82,Settings!$A$13:$A$16,0)))+D82</f>
        <v/>
      </c>
      <c r="G82" s="62">
        <f>G81*(1+INDEX(Settings!$J$13:$J$16,MATCH(C82,Settings!$A$13:$A$16,0)))+D82</f>
        <v/>
      </c>
    </row>
    <row r="83">
      <c r="A83" s="45" t="n">
        <v>79</v>
      </c>
      <c r="B83" s="67">
        <f>Dashboard!$C$5+(79-1)/12</f>
        <v/>
      </c>
      <c r="C83" s="27">
        <f>INDEX(Dashboard!$C$14:$C$21,MIN(8,INT((79-1)/60)+1))</f>
        <v/>
      </c>
      <c r="D83" s="62">
        <f>MIN(Dashboard!$C$9,INDEX(Settings!$B$19:$B$58,MIN(40,INT((79-1)/12)+1)))</f>
        <v/>
      </c>
      <c r="E83" s="62">
        <f>E82*(1+INDEX(Settings!$E$13:$E$16,MATCH(C83,Settings!$A$13:$A$16,0)))+D83</f>
        <v/>
      </c>
      <c r="F83" s="62">
        <f>F82*(1+INDEX(Settings!$I$13:$I$16,MATCH(C83,Settings!$A$13:$A$16,0)))+D83</f>
        <v/>
      </c>
      <c r="G83" s="62">
        <f>G82*(1+INDEX(Settings!$J$13:$J$16,MATCH(C83,Settings!$A$13:$A$16,0)))+D83</f>
        <v/>
      </c>
    </row>
    <row r="84">
      <c r="A84" s="45" t="n">
        <v>80</v>
      </c>
      <c r="B84" s="67">
        <f>Dashboard!$C$5+(80-1)/12</f>
        <v/>
      </c>
      <c r="C84" s="27">
        <f>INDEX(Dashboard!$C$14:$C$21,MIN(8,INT((80-1)/60)+1))</f>
        <v/>
      </c>
      <c r="D84" s="62">
        <f>MIN(Dashboard!$C$9,INDEX(Settings!$B$19:$B$58,MIN(40,INT((80-1)/12)+1)))</f>
        <v/>
      </c>
      <c r="E84" s="62">
        <f>E83*(1+INDEX(Settings!$E$13:$E$16,MATCH(C84,Settings!$A$13:$A$16,0)))+D84</f>
        <v/>
      </c>
      <c r="F84" s="62">
        <f>F83*(1+INDEX(Settings!$I$13:$I$16,MATCH(C84,Settings!$A$13:$A$16,0)))+D84</f>
        <v/>
      </c>
      <c r="G84" s="62">
        <f>G83*(1+INDEX(Settings!$J$13:$J$16,MATCH(C84,Settings!$A$13:$A$16,0)))+D84</f>
        <v/>
      </c>
    </row>
    <row r="85">
      <c r="A85" s="45" t="n">
        <v>81</v>
      </c>
      <c r="B85" s="67">
        <f>Dashboard!$C$5+(81-1)/12</f>
        <v/>
      </c>
      <c r="C85" s="27">
        <f>INDEX(Dashboard!$C$14:$C$21,MIN(8,INT((81-1)/60)+1))</f>
        <v/>
      </c>
      <c r="D85" s="62">
        <f>MIN(Dashboard!$C$9,INDEX(Settings!$B$19:$B$58,MIN(40,INT((81-1)/12)+1)))</f>
        <v/>
      </c>
      <c r="E85" s="62">
        <f>E84*(1+INDEX(Settings!$E$13:$E$16,MATCH(C85,Settings!$A$13:$A$16,0)))+D85</f>
        <v/>
      </c>
      <c r="F85" s="62">
        <f>F84*(1+INDEX(Settings!$I$13:$I$16,MATCH(C85,Settings!$A$13:$A$16,0)))+D85</f>
        <v/>
      </c>
      <c r="G85" s="62">
        <f>G84*(1+INDEX(Settings!$J$13:$J$16,MATCH(C85,Settings!$A$13:$A$16,0)))+D85</f>
        <v/>
      </c>
    </row>
    <row r="86">
      <c r="A86" s="45" t="n">
        <v>82</v>
      </c>
      <c r="B86" s="67">
        <f>Dashboard!$C$5+(82-1)/12</f>
        <v/>
      </c>
      <c r="C86" s="27">
        <f>INDEX(Dashboard!$C$14:$C$21,MIN(8,INT((82-1)/60)+1))</f>
        <v/>
      </c>
      <c r="D86" s="62">
        <f>MIN(Dashboard!$C$9,INDEX(Settings!$B$19:$B$58,MIN(40,INT((82-1)/12)+1)))</f>
        <v/>
      </c>
      <c r="E86" s="62">
        <f>E85*(1+INDEX(Settings!$E$13:$E$16,MATCH(C86,Settings!$A$13:$A$16,0)))+D86</f>
        <v/>
      </c>
      <c r="F86" s="62">
        <f>F85*(1+INDEX(Settings!$I$13:$I$16,MATCH(C86,Settings!$A$13:$A$16,0)))+D86</f>
        <v/>
      </c>
      <c r="G86" s="62">
        <f>G85*(1+INDEX(Settings!$J$13:$J$16,MATCH(C86,Settings!$A$13:$A$16,0)))+D86</f>
        <v/>
      </c>
    </row>
    <row r="87">
      <c r="A87" s="45" t="n">
        <v>83</v>
      </c>
      <c r="B87" s="67">
        <f>Dashboard!$C$5+(83-1)/12</f>
        <v/>
      </c>
      <c r="C87" s="27">
        <f>INDEX(Dashboard!$C$14:$C$21,MIN(8,INT((83-1)/60)+1))</f>
        <v/>
      </c>
      <c r="D87" s="62">
        <f>MIN(Dashboard!$C$9,INDEX(Settings!$B$19:$B$58,MIN(40,INT((83-1)/12)+1)))</f>
        <v/>
      </c>
      <c r="E87" s="62">
        <f>E86*(1+INDEX(Settings!$E$13:$E$16,MATCH(C87,Settings!$A$13:$A$16,0)))+D87</f>
        <v/>
      </c>
      <c r="F87" s="62">
        <f>F86*(1+INDEX(Settings!$I$13:$I$16,MATCH(C87,Settings!$A$13:$A$16,0)))+D87</f>
        <v/>
      </c>
      <c r="G87" s="62">
        <f>G86*(1+INDEX(Settings!$J$13:$J$16,MATCH(C87,Settings!$A$13:$A$16,0)))+D87</f>
        <v/>
      </c>
    </row>
    <row r="88">
      <c r="A88" s="45" t="n">
        <v>84</v>
      </c>
      <c r="B88" s="67">
        <f>Dashboard!$C$5+(84-1)/12</f>
        <v/>
      </c>
      <c r="C88" s="27">
        <f>INDEX(Dashboard!$C$14:$C$21,MIN(8,INT((84-1)/60)+1))</f>
        <v/>
      </c>
      <c r="D88" s="62">
        <f>MIN(Dashboard!$C$9,INDEX(Settings!$B$19:$B$58,MIN(40,INT((84-1)/12)+1)))</f>
        <v/>
      </c>
      <c r="E88" s="62">
        <f>E87*(1+INDEX(Settings!$E$13:$E$16,MATCH(C88,Settings!$A$13:$A$16,0)))+D88</f>
        <v/>
      </c>
      <c r="F88" s="62">
        <f>F87*(1+INDEX(Settings!$I$13:$I$16,MATCH(C88,Settings!$A$13:$A$16,0)))+D88</f>
        <v/>
      </c>
      <c r="G88" s="62">
        <f>G87*(1+INDEX(Settings!$J$13:$J$16,MATCH(C88,Settings!$A$13:$A$16,0)))+D88</f>
        <v/>
      </c>
    </row>
    <row r="89">
      <c r="A89" s="45" t="n">
        <v>85</v>
      </c>
      <c r="B89" s="67">
        <f>Dashboard!$C$5+(85-1)/12</f>
        <v/>
      </c>
      <c r="C89" s="27">
        <f>INDEX(Dashboard!$C$14:$C$21,MIN(8,INT((85-1)/60)+1))</f>
        <v/>
      </c>
      <c r="D89" s="62">
        <f>MIN(Dashboard!$C$9,INDEX(Settings!$B$19:$B$58,MIN(40,INT((85-1)/12)+1)))</f>
        <v/>
      </c>
      <c r="E89" s="62">
        <f>E88*(1+INDEX(Settings!$E$13:$E$16,MATCH(C89,Settings!$A$13:$A$16,0)))+D89</f>
        <v/>
      </c>
      <c r="F89" s="62">
        <f>F88*(1+INDEX(Settings!$I$13:$I$16,MATCH(C89,Settings!$A$13:$A$16,0)))+D89</f>
        <v/>
      </c>
      <c r="G89" s="62">
        <f>G88*(1+INDEX(Settings!$J$13:$J$16,MATCH(C89,Settings!$A$13:$A$16,0)))+D89</f>
        <v/>
      </c>
    </row>
    <row r="90">
      <c r="A90" s="45" t="n">
        <v>86</v>
      </c>
      <c r="B90" s="67">
        <f>Dashboard!$C$5+(86-1)/12</f>
        <v/>
      </c>
      <c r="C90" s="27">
        <f>INDEX(Dashboard!$C$14:$C$21,MIN(8,INT((86-1)/60)+1))</f>
        <v/>
      </c>
      <c r="D90" s="62">
        <f>MIN(Dashboard!$C$9,INDEX(Settings!$B$19:$B$58,MIN(40,INT((86-1)/12)+1)))</f>
        <v/>
      </c>
      <c r="E90" s="62">
        <f>E89*(1+INDEX(Settings!$E$13:$E$16,MATCH(C90,Settings!$A$13:$A$16,0)))+D90</f>
        <v/>
      </c>
      <c r="F90" s="62">
        <f>F89*(1+INDEX(Settings!$I$13:$I$16,MATCH(C90,Settings!$A$13:$A$16,0)))+D90</f>
        <v/>
      </c>
      <c r="G90" s="62">
        <f>G89*(1+INDEX(Settings!$J$13:$J$16,MATCH(C90,Settings!$A$13:$A$16,0)))+D90</f>
        <v/>
      </c>
    </row>
    <row r="91">
      <c r="A91" s="45" t="n">
        <v>87</v>
      </c>
      <c r="B91" s="67">
        <f>Dashboard!$C$5+(87-1)/12</f>
        <v/>
      </c>
      <c r="C91" s="27">
        <f>INDEX(Dashboard!$C$14:$C$21,MIN(8,INT((87-1)/60)+1))</f>
        <v/>
      </c>
      <c r="D91" s="62">
        <f>MIN(Dashboard!$C$9,INDEX(Settings!$B$19:$B$58,MIN(40,INT((87-1)/12)+1)))</f>
        <v/>
      </c>
      <c r="E91" s="62">
        <f>E90*(1+INDEX(Settings!$E$13:$E$16,MATCH(C91,Settings!$A$13:$A$16,0)))+D91</f>
        <v/>
      </c>
      <c r="F91" s="62">
        <f>F90*(1+INDEX(Settings!$I$13:$I$16,MATCH(C91,Settings!$A$13:$A$16,0)))+D91</f>
        <v/>
      </c>
      <c r="G91" s="62">
        <f>G90*(1+INDEX(Settings!$J$13:$J$16,MATCH(C91,Settings!$A$13:$A$16,0)))+D91</f>
        <v/>
      </c>
    </row>
    <row r="92">
      <c r="A92" s="45" t="n">
        <v>88</v>
      </c>
      <c r="B92" s="67">
        <f>Dashboard!$C$5+(88-1)/12</f>
        <v/>
      </c>
      <c r="C92" s="27">
        <f>INDEX(Dashboard!$C$14:$C$21,MIN(8,INT((88-1)/60)+1))</f>
        <v/>
      </c>
      <c r="D92" s="62">
        <f>MIN(Dashboard!$C$9,INDEX(Settings!$B$19:$B$58,MIN(40,INT((88-1)/12)+1)))</f>
        <v/>
      </c>
      <c r="E92" s="62">
        <f>E91*(1+INDEX(Settings!$E$13:$E$16,MATCH(C92,Settings!$A$13:$A$16,0)))+D92</f>
        <v/>
      </c>
      <c r="F92" s="62">
        <f>F91*(1+INDEX(Settings!$I$13:$I$16,MATCH(C92,Settings!$A$13:$A$16,0)))+D92</f>
        <v/>
      </c>
      <c r="G92" s="62">
        <f>G91*(1+INDEX(Settings!$J$13:$J$16,MATCH(C92,Settings!$A$13:$A$16,0)))+D92</f>
        <v/>
      </c>
    </row>
    <row r="93">
      <c r="A93" s="45" t="n">
        <v>89</v>
      </c>
      <c r="B93" s="67">
        <f>Dashboard!$C$5+(89-1)/12</f>
        <v/>
      </c>
      <c r="C93" s="27">
        <f>INDEX(Dashboard!$C$14:$C$21,MIN(8,INT((89-1)/60)+1))</f>
        <v/>
      </c>
      <c r="D93" s="62">
        <f>MIN(Dashboard!$C$9,INDEX(Settings!$B$19:$B$58,MIN(40,INT((89-1)/12)+1)))</f>
        <v/>
      </c>
      <c r="E93" s="62">
        <f>E92*(1+INDEX(Settings!$E$13:$E$16,MATCH(C93,Settings!$A$13:$A$16,0)))+D93</f>
        <v/>
      </c>
      <c r="F93" s="62">
        <f>F92*(1+INDEX(Settings!$I$13:$I$16,MATCH(C93,Settings!$A$13:$A$16,0)))+D93</f>
        <v/>
      </c>
      <c r="G93" s="62">
        <f>G92*(1+INDEX(Settings!$J$13:$J$16,MATCH(C93,Settings!$A$13:$A$16,0)))+D93</f>
        <v/>
      </c>
    </row>
    <row r="94">
      <c r="A94" s="45" t="n">
        <v>90</v>
      </c>
      <c r="B94" s="67">
        <f>Dashboard!$C$5+(90-1)/12</f>
        <v/>
      </c>
      <c r="C94" s="27">
        <f>INDEX(Dashboard!$C$14:$C$21,MIN(8,INT((90-1)/60)+1))</f>
        <v/>
      </c>
      <c r="D94" s="62">
        <f>MIN(Dashboard!$C$9,INDEX(Settings!$B$19:$B$58,MIN(40,INT((90-1)/12)+1)))</f>
        <v/>
      </c>
      <c r="E94" s="62">
        <f>E93*(1+INDEX(Settings!$E$13:$E$16,MATCH(C94,Settings!$A$13:$A$16,0)))+D94</f>
        <v/>
      </c>
      <c r="F94" s="62">
        <f>F93*(1+INDEX(Settings!$I$13:$I$16,MATCH(C94,Settings!$A$13:$A$16,0)))+D94</f>
        <v/>
      </c>
      <c r="G94" s="62">
        <f>G93*(1+INDEX(Settings!$J$13:$J$16,MATCH(C94,Settings!$A$13:$A$16,0)))+D94</f>
        <v/>
      </c>
    </row>
    <row r="95">
      <c r="A95" s="45" t="n">
        <v>91</v>
      </c>
      <c r="B95" s="67">
        <f>Dashboard!$C$5+(91-1)/12</f>
        <v/>
      </c>
      <c r="C95" s="27">
        <f>INDEX(Dashboard!$C$14:$C$21,MIN(8,INT((91-1)/60)+1))</f>
        <v/>
      </c>
      <c r="D95" s="62">
        <f>MIN(Dashboard!$C$9,INDEX(Settings!$B$19:$B$58,MIN(40,INT((91-1)/12)+1)))</f>
        <v/>
      </c>
      <c r="E95" s="62">
        <f>E94*(1+INDEX(Settings!$E$13:$E$16,MATCH(C95,Settings!$A$13:$A$16,0)))+D95</f>
        <v/>
      </c>
      <c r="F95" s="62">
        <f>F94*(1+INDEX(Settings!$I$13:$I$16,MATCH(C95,Settings!$A$13:$A$16,0)))+D95</f>
        <v/>
      </c>
      <c r="G95" s="62">
        <f>G94*(1+INDEX(Settings!$J$13:$J$16,MATCH(C95,Settings!$A$13:$A$16,0)))+D95</f>
        <v/>
      </c>
    </row>
    <row r="96">
      <c r="A96" s="45" t="n">
        <v>92</v>
      </c>
      <c r="B96" s="67">
        <f>Dashboard!$C$5+(92-1)/12</f>
        <v/>
      </c>
      <c r="C96" s="27">
        <f>INDEX(Dashboard!$C$14:$C$21,MIN(8,INT((92-1)/60)+1))</f>
        <v/>
      </c>
      <c r="D96" s="62">
        <f>MIN(Dashboard!$C$9,INDEX(Settings!$B$19:$B$58,MIN(40,INT((92-1)/12)+1)))</f>
        <v/>
      </c>
      <c r="E96" s="62">
        <f>E95*(1+INDEX(Settings!$E$13:$E$16,MATCH(C96,Settings!$A$13:$A$16,0)))+D96</f>
        <v/>
      </c>
      <c r="F96" s="62">
        <f>F95*(1+INDEX(Settings!$I$13:$I$16,MATCH(C96,Settings!$A$13:$A$16,0)))+D96</f>
        <v/>
      </c>
      <c r="G96" s="62">
        <f>G95*(1+INDEX(Settings!$J$13:$J$16,MATCH(C96,Settings!$A$13:$A$16,0)))+D96</f>
        <v/>
      </c>
    </row>
    <row r="97">
      <c r="A97" s="45" t="n">
        <v>93</v>
      </c>
      <c r="B97" s="67">
        <f>Dashboard!$C$5+(93-1)/12</f>
        <v/>
      </c>
      <c r="C97" s="27">
        <f>INDEX(Dashboard!$C$14:$C$21,MIN(8,INT((93-1)/60)+1))</f>
        <v/>
      </c>
      <c r="D97" s="62">
        <f>MIN(Dashboard!$C$9,INDEX(Settings!$B$19:$B$58,MIN(40,INT((93-1)/12)+1)))</f>
        <v/>
      </c>
      <c r="E97" s="62">
        <f>E96*(1+INDEX(Settings!$E$13:$E$16,MATCH(C97,Settings!$A$13:$A$16,0)))+D97</f>
        <v/>
      </c>
      <c r="F97" s="62">
        <f>F96*(1+INDEX(Settings!$I$13:$I$16,MATCH(C97,Settings!$A$13:$A$16,0)))+D97</f>
        <v/>
      </c>
      <c r="G97" s="62">
        <f>G96*(1+INDEX(Settings!$J$13:$J$16,MATCH(C97,Settings!$A$13:$A$16,0)))+D97</f>
        <v/>
      </c>
    </row>
    <row r="98">
      <c r="A98" s="45" t="n">
        <v>94</v>
      </c>
      <c r="B98" s="67">
        <f>Dashboard!$C$5+(94-1)/12</f>
        <v/>
      </c>
      <c r="C98" s="27">
        <f>INDEX(Dashboard!$C$14:$C$21,MIN(8,INT((94-1)/60)+1))</f>
        <v/>
      </c>
      <c r="D98" s="62">
        <f>MIN(Dashboard!$C$9,INDEX(Settings!$B$19:$B$58,MIN(40,INT((94-1)/12)+1)))</f>
        <v/>
      </c>
      <c r="E98" s="62">
        <f>E97*(1+INDEX(Settings!$E$13:$E$16,MATCH(C98,Settings!$A$13:$A$16,0)))+D98</f>
        <v/>
      </c>
      <c r="F98" s="62">
        <f>F97*(1+INDEX(Settings!$I$13:$I$16,MATCH(C98,Settings!$A$13:$A$16,0)))+D98</f>
        <v/>
      </c>
      <c r="G98" s="62">
        <f>G97*(1+INDEX(Settings!$J$13:$J$16,MATCH(C98,Settings!$A$13:$A$16,0)))+D98</f>
        <v/>
      </c>
    </row>
    <row r="99">
      <c r="A99" s="45" t="n">
        <v>95</v>
      </c>
      <c r="B99" s="67">
        <f>Dashboard!$C$5+(95-1)/12</f>
        <v/>
      </c>
      <c r="C99" s="27">
        <f>INDEX(Dashboard!$C$14:$C$21,MIN(8,INT((95-1)/60)+1))</f>
        <v/>
      </c>
      <c r="D99" s="62">
        <f>MIN(Dashboard!$C$9,INDEX(Settings!$B$19:$B$58,MIN(40,INT((95-1)/12)+1)))</f>
        <v/>
      </c>
      <c r="E99" s="62">
        <f>E98*(1+INDEX(Settings!$E$13:$E$16,MATCH(C99,Settings!$A$13:$A$16,0)))+D99</f>
        <v/>
      </c>
      <c r="F99" s="62">
        <f>F98*(1+INDEX(Settings!$I$13:$I$16,MATCH(C99,Settings!$A$13:$A$16,0)))+D99</f>
        <v/>
      </c>
      <c r="G99" s="62">
        <f>G98*(1+INDEX(Settings!$J$13:$J$16,MATCH(C99,Settings!$A$13:$A$16,0)))+D99</f>
        <v/>
      </c>
    </row>
    <row r="100">
      <c r="A100" s="45" t="n">
        <v>96</v>
      </c>
      <c r="B100" s="67">
        <f>Dashboard!$C$5+(96-1)/12</f>
        <v/>
      </c>
      <c r="C100" s="27">
        <f>INDEX(Dashboard!$C$14:$C$21,MIN(8,INT((96-1)/60)+1))</f>
        <v/>
      </c>
      <c r="D100" s="62">
        <f>MIN(Dashboard!$C$9,INDEX(Settings!$B$19:$B$58,MIN(40,INT((96-1)/12)+1)))</f>
        <v/>
      </c>
      <c r="E100" s="62">
        <f>E99*(1+INDEX(Settings!$E$13:$E$16,MATCH(C100,Settings!$A$13:$A$16,0)))+D100</f>
        <v/>
      </c>
      <c r="F100" s="62">
        <f>F99*(1+INDEX(Settings!$I$13:$I$16,MATCH(C100,Settings!$A$13:$A$16,0)))+D100</f>
        <v/>
      </c>
      <c r="G100" s="62">
        <f>G99*(1+INDEX(Settings!$J$13:$J$16,MATCH(C100,Settings!$A$13:$A$16,0)))+D100</f>
        <v/>
      </c>
    </row>
    <row r="101">
      <c r="A101" s="45" t="n">
        <v>97</v>
      </c>
      <c r="B101" s="67">
        <f>Dashboard!$C$5+(97-1)/12</f>
        <v/>
      </c>
      <c r="C101" s="27">
        <f>INDEX(Dashboard!$C$14:$C$21,MIN(8,INT((97-1)/60)+1))</f>
        <v/>
      </c>
      <c r="D101" s="62">
        <f>MIN(Dashboard!$C$9,INDEX(Settings!$B$19:$B$58,MIN(40,INT((97-1)/12)+1)))</f>
        <v/>
      </c>
      <c r="E101" s="62">
        <f>E100*(1+INDEX(Settings!$E$13:$E$16,MATCH(C101,Settings!$A$13:$A$16,0)))+D101</f>
        <v/>
      </c>
      <c r="F101" s="62">
        <f>F100*(1+INDEX(Settings!$I$13:$I$16,MATCH(C101,Settings!$A$13:$A$16,0)))+D101</f>
        <v/>
      </c>
      <c r="G101" s="62">
        <f>G100*(1+INDEX(Settings!$J$13:$J$16,MATCH(C101,Settings!$A$13:$A$16,0)))+D101</f>
        <v/>
      </c>
    </row>
    <row r="102">
      <c r="A102" s="45" t="n">
        <v>98</v>
      </c>
      <c r="B102" s="67">
        <f>Dashboard!$C$5+(98-1)/12</f>
        <v/>
      </c>
      <c r="C102" s="27">
        <f>INDEX(Dashboard!$C$14:$C$21,MIN(8,INT((98-1)/60)+1))</f>
        <v/>
      </c>
      <c r="D102" s="62">
        <f>MIN(Dashboard!$C$9,INDEX(Settings!$B$19:$B$58,MIN(40,INT((98-1)/12)+1)))</f>
        <v/>
      </c>
      <c r="E102" s="62">
        <f>E101*(1+INDEX(Settings!$E$13:$E$16,MATCH(C102,Settings!$A$13:$A$16,0)))+D102</f>
        <v/>
      </c>
      <c r="F102" s="62">
        <f>F101*(1+INDEX(Settings!$I$13:$I$16,MATCH(C102,Settings!$A$13:$A$16,0)))+D102</f>
        <v/>
      </c>
      <c r="G102" s="62">
        <f>G101*(1+INDEX(Settings!$J$13:$J$16,MATCH(C102,Settings!$A$13:$A$16,0)))+D102</f>
        <v/>
      </c>
    </row>
    <row r="103">
      <c r="A103" s="45" t="n">
        <v>99</v>
      </c>
      <c r="B103" s="67">
        <f>Dashboard!$C$5+(99-1)/12</f>
        <v/>
      </c>
      <c r="C103" s="27">
        <f>INDEX(Dashboard!$C$14:$C$21,MIN(8,INT((99-1)/60)+1))</f>
        <v/>
      </c>
      <c r="D103" s="62">
        <f>MIN(Dashboard!$C$9,INDEX(Settings!$B$19:$B$58,MIN(40,INT((99-1)/12)+1)))</f>
        <v/>
      </c>
      <c r="E103" s="62">
        <f>E102*(1+INDEX(Settings!$E$13:$E$16,MATCH(C103,Settings!$A$13:$A$16,0)))+D103</f>
        <v/>
      </c>
      <c r="F103" s="62">
        <f>F102*(1+INDEX(Settings!$I$13:$I$16,MATCH(C103,Settings!$A$13:$A$16,0)))+D103</f>
        <v/>
      </c>
      <c r="G103" s="62">
        <f>G102*(1+INDEX(Settings!$J$13:$J$16,MATCH(C103,Settings!$A$13:$A$16,0)))+D103</f>
        <v/>
      </c>
    </row>
    <row r="104">
      <c r="A104" s="45" t="n">
        <v>100</v>
      </c>
      <c r="B104" s="67">
        <f>Dashboard!$C$5+(100-1)/12</f>
        <v/>
      </c>
      <c r="C104" s="27">
        <f>INDEX(Dashboard!$C$14:$C$21,MIN(8,INT((100-1)/60)+1))</f>
        <v/>
      </c>
      <c r="D104" s="62">
        <f>MIN(Dashboard!$C$9,INDEX(Settings!$B$19:$B$58,MIN(40,INT((100-1)/12)+1)))</f>
        <v/>
      </c>
      <c r="E104" s="62">
        <f>E103*(1+INDEX(Settings!$E$13:$E$16,MATCH(C104,Settings!$A$13:$A$16,0)))+D104</f>
        <v/>
      </c>
      <c r="F104" s="62">
        <f>F103*(1+INDEX(Settings!$I$13:$I$16,MATCH(C104,Settings!$A$13:$A$16,0)))+D104</f>
        <v/>
      </c>
      <c r="G104" s="62">
        <f>G103*(1+INDEX(Settings!$J$13:$J$16,MATCH(C104,Settings!$A$13:$A$16,0)))+D104</f>
        <v/>
      </c>
    </row>
    <row r="105">
      <c r="A105" s="45" t="n">
        <v>101</v>
      </c>
      <c r="B105" s="67">
        <f>Dashboard!$C$5+(101-1)/12</f>
        <v/>
      </c>
      <c r="C105" s="27">
        <f>INDEX(Dashboard!$C$14:$C$21,MIN(8,INT((101-1)/60)+1))</f>
        <v/>
      </c>
      <c r="D105" s="62">
        <f>MIN(Dashboard!$C$9,INDEX(Settings!$B$19:$B$58,MIN(40,INT((101-1)/12)+1)))</f>
        <v/>
      </c>
      <c r="E105" s="62">
        <f>E104*(1+INDEX(Settings!$E$13:$E$16,MATCH(C105,Settings!$A$13:$A$16,0)))+D105</f>
        <v/>
      </c>
      <c r="F105" s="62">
        <f>F104*(1+INDEX(Settings!$I$13:$I$16,MATCH(C105,Settings!$A$13:$A$16,0)))+D105</f>
        <v/>
      </c>
      <c r="G105" s="62">
        <f>G104*(1+INDEX(Settings!$J$13:$J$16,MATCH(C105,Settings!$A$13:$A$16,0)))+D105</f>
        <v/>
      </c>
    </row>
    <row r="106">
      <c r="A106" s="45" t="n">
        <v>102</v>
      </c>
      <c r="B106" s="67">
        <f>Dashboard!$C$5+(102-1)/12</f>
        <v/>
      </c>
      <c r="C106" s="27">
        <f>INDEX(Dashboard!$C$14:$C$21,MIN(8,INT((102-1)/60)+1))</f>
        <v/>
      </c>
      <c r="D106" s="62">
        <f>MIN(Dashboard!$C$9,INDEX(Settings!$B$19:$B$58,MIN(40,INT((102-1)/12)+1)))</f>
        <v/>
      </c>
      <c r="E106" s="62">
        <f>E105*(1+INDEX(Settings!$E$13:$E$16,MATCH(C106,Settings!$A$13:$A$16,0)))+D106</f>
        <v/>
      </c>
      <c r="F106" s="62">
        <f>F105*(1+INDEX(Settings!$I$13:$I$16,MATCH(C106,Settings!$A$13:$A$16,0)))+D106</f>
        <v/>
      </c>
      <c r="G106" s="62">
        <f>G105*(1+INDEX(Settings!$J$13:$J$16,MATCH(C106,Settings!$A$13:$A$16,0)))+D106</f>
        <v/>
      </c>
    </row>
    <row r="107">
      <c r="A107" s="45" t="n">
        <v>103</v>
      </c>
      <c r="B107" s="67">
        <f>Dashboard!$C$5+(103-1)/12</f>
        <v/>
      </c>
      <c r="C107" s="27">
        <f>INDEX(Dashboard!$C$14:$C$21,MIN(8,INT((103-1)/60)+1))</f>
        <v/>
      </c>
      <c r="D107" s="62">
        <f>MIN(Dashboard!$C$9,INDEX(Settings!$B$19:$B$58,MIN(40,INT((103-1)/12)+1)))</f>
        <v/>
      </c>
      <c r="E107" s="62">
        <f>E106*(1+INDEX(Settings!$E$13:$E$16,MATCH(C107,Settings!$A$13:$A$16,0)))+D107</f>
        <v/>
      </c>
      <c r="F107" s="62">
        <f>F106*(1+INDEX(Settings!$I$13:$I$16,MATCH(C107,Settings!$A$13:$A$16,0)))+D107</f>
        <v/>
      </c>
      <c r="G107" s="62">
        <f>G106*(1+INDEX(Settings!$J$13:$J$16,MATCH(C107,Settings!$A$13:$A$16,0)))+D107</f>
        <v/>
      </c>
    </row>
    <row r="108">
      <c r="A108" s="45" t="n">
        <v>104</v>
      </c>
      <c r="B108" s="67">
        <f>Dashboard!$C$5+(104-1)/12</f>
        <v/>
      </c>
      <c r="C108" s="27">
        <f>INDEX(Dashboard!$C$14:$C$21,MIN(8,INT((104-1)/60)+1))</f>
        <v/>
      </c>
      <c r="D108" s="62">
        <f>MIN(Dashboard!$C$9,INDEX(Settings!$B$19:$B$58,MIN(40,INT((104-1)/12)+1)))</f>
        <v/>
      </c>
      <c r="E108" s="62">
        <f>E107*(1+INDEX(Settings!$E$13:$E$16,MATCH(C108,Settings!$A$13:$A$16,0)))+D108</f>
        <v/>
      </c>
      <c r="F108" s="62">
        <f>F107*(1+INDEX(Settings!$I$13:$I$16,MATCH(C108,Settings!$A$13:$A$16,0)))+D108</f>
        <v/>
      </c>
      <c r="G108" s="62">
        <f>G107*(1+INDEX(Settings!$J$13:$J$16,MATCH(C108,Settings!$A$13:$A$16,0)))+D108</f>
        <v/>
      </c>
    </row>
    <row r="109">
      <c r="A109" s="45" t="n">
        <v>105</v>
      </c>
      <c r="B109" s="67">
        <f>Dashboard!$C$5+(105-1)/12</f>
        <v/>
      </c>
      <c r="C109" s="27">
        <f>INDEX(Dashboard!$C$14:$C$21,MIN(8,INT((105-1)/60)+1))</f>
        <v/>
      </c>
      <c r="D109" s="62">
        <f>MIN(Dashboard!$C$9,INDEX(Settings!$B$19:$B$58,MIN(40,INT((105-1)/12)+1)))</f>
        <v/>
      </c>
      <c r="E109" s="62">
        <f>E108*(1+INDEX(Settings!$E$13:$E$16,MATCH(C109,Settings!$A$13:$A$16,0)))+D109</f>
        <v/>
      </c>
      <c r="F109" s="62">
        <f>F108*(1+INDEX(Settings!$I$13:$I$16,MATCH(C109,Settings!$A$13:$A$16,0)))+D109</f>
        <v/>
      </c>
      <c r="G109" s="62">
        <f>G108*(1+INDEX(Settings!$J$13:$J$16,MATCH(C109,Settings!$A$13:$A$16,0)))+D109</f>
        <v/>
      </c>
    </row>
    <row r="110">
      <c r="A110" s="45" t="n">
        <v>106</v>
      </c>
      <c r="B110" s="67">
        <f>Dashboard!$C$5+(106-1)/12</f>
        <v/>
      </c>
      <c r="C110" s="27">
        <f>INDEX(Dashboard!$C$14:$C$21,MIN(8,INT((106-1)/60)+1))</f>
        <v/>
      </c>
      <c r="D110" s="62">
        <f>MIN(Dashboard!$C$9,INDEX(Settings!$B$19:$B$58,MIN(40,INT((106-1)/12)+1)))</f>
        <v/>
      </c>
      <c r="E110" s="62">
        <f>E109*(1+INDEX(Settings!$E$13:$E$16,MATCH(C110,Settings!$A$13:$A$16,0)))+D110</f>
        <v/>
      </c>
      <c r="F110" s="62">
        <f>F109*(1+INDEX(Settings!$I$13:$I$16,MATCH(C110,Settings!$A$13:$A$16,0)))+D110</f>
        <v/>
      </c>
      <c r="G110" s="62">
        <f>G109*(1+INDEX(Settings!$J$13:$J$16,MATCH(C110,Settings!$A$13:$A$16,0)))+D110</f>
        <v/>
      </c>
    </row>
    <row r="111">
      <c r="A111" s="45" t="n">
        <v>107</v>
      </c>
      <c r="B111" s="67">
        <f>Dashboard!$C$5+(107-1)/12</f>
        <v/>
      </c>
      <c r="C111" s="27">
        <f>INDEX(Dashboard!$C$14:$C$21,MIN(8,INT((107-1)/60)+1))</f>
        <v/>
      </c>
      <c r="D111" s="62">
        <f>MIN(Dashboard!$C$9,INDEX(Settings!$B$19:$B$58,MIN(40,INT((107-1)/12)+1)))</f>
        <v/>
      </c>
      <c r="E111" s="62">
        <f>E110*(1+INDEX(Settings!$E$13:$E$16,MATCH(C111,Settings!$A$13:$A$16,0)))+D111</f>
        <v/>
      </c>
      <c r="F111" s="62">
        <f>F110*(1+INDEX(Settings!$I$13:$I$16,MATCH(C111,Settings!$A$13:$A$16,0)))+D111</f>
        <v/>
      </c>
      <c r="G111" s="62">
        <f>G110*(1+INDEX(Settings!$J$13:$J$16,MATCH(C111,Settings!$A$13:$A$16,0)))+D111</f>
        <v/>
      </c>
    </row>
    <row r="112">
      <c r="A112" s="45" t="n">
        <v>108</v>
      </c>
      <c r="B112" s="67">
        <f>Dashboard!$C$5+(108-1)/12</f>
        <v/>
      </c>
      <c r="C112" s="27">
        <f>INDEX(Dashboard!$C$14:$C$21,MIN(8,INT((108-1)/60)+1))</f>
        <v/>
      </c>
      <c r="D112" s="62">
        <f>MIN(Dashboard!$C$9,INDEX(Settings!$B$19:$B$58,MIN(40,INT((108-1)/12)+1)))</f>
        <v/>
      </c>
      <c r="E112" s="62">
        <f>E111*(1+INDEX(Settings!$E$13:$E$16,MATCH(C112,Settings!$A$13:$A$16,0)))+D112</f>
        <v/>
      </c>
      <c r="F112" s="62">
        <f>F111*(1+INDEX(Settings!$I$13:$I$16,MATCH(C112,Settings!$A$13:$A$16,0)))+D112</f>
        <v/>
      </c>
      <c r="G112" s="62">
        <f>G111*(1+INDEX(Settings!$J$13:$J$16,MATCH(C112,Settings!$A$13:$A$16,0)))+D112</f>
        <v/>
      </c>
    </row>
    <row r="113">
      <c r="A113" s="45" t="n">
        <v>109</v>
      </c>
      <c r="B113" s="67">
        <f>Dashboard!$C$5+(109-1)/12</f>
        <v/>
      </c>
      <c r="C113" s="27">
        <f>INDEX(Dashboard!$C$14:$C$21,MIN(8,INT((109-1)/60)+1))</f>
        <v/>
      </c>
      <c r="D113" s="62">
        <f>MIN(Dashboard!$C$9,INDEX(Settings!$B$19:$B$58,MIN(40,INT((109-1)/12)+1)))</f>
        <v/>
      </c>
      <c r="E113" s="62">
        <f>E112*(1+INDEX(Settings!$E$13:$E$16,MATCH(C113,Settings!$A$13:$A$16,0)))+D113</f>
        <v/>
      </c>
      <c r="F113" s="62">
        <f>F112*(1+INDEX(Settings!$I$13:$I$16,MATCH(C113,Settings!$A$13:$A$16,0)))+D113</f>
        <v/>
      </c>
      <c r="G113" s="62">
        <f>G112*(1+INDEX(Settings!$J$13:$J$16,MATCH(C113,Settings!$A$13:$A$16,0)))+D113</f>
        <v/>
      </c>
    </row>
    <row r="114">
      <c r="A114" s="45" t="n">
        <v>110</v>
      </c>
      <c r="B114" s="67">
        <f>Dashboard!$C$5+(110-1)/12</f>
        <v/>
      </c>
      <c r="C114" s="27">
        <f>INDEX(Dashboard!$C$14:$C$21,MIN(8,INT((110-1)/60)+1))</f>
        <v/>
      </c>
      <c r="D114" s="62">
        <f>MIN(Dashboard!$C$9,INDEX(Settings!$B$19:$B$58,MIN(40,INT((110-1)/12)+1)))</f>
        <v/>
      </c>
      <c r="E114" s="62">
        <f>E113*(1+INDEX(Settings!$E$13:$E$16,MATCH(C114,Settings!$A$13:$A$16,0)))+D114</f>
        <v/>
      </c>
      <c r="F114" s="62">
        <f>F113*(1+INDEX(Settings!$I$13:$I$16,MATCH(C114,Settings!$A$13:$A$16,0)))+D114</f>
        <v/>
      </c>
      <c r="G114" s="62">
        <f>G113*(1+INDEX(Settings!$J$13:$J$16,MATCH(C114,Settings!$A$13:$A$16,0)))+D114</f>
        <v/>
      </c>
    </row>
    <row r="115">
      <c r="A115" s="45" t="n">
        <v>111</v>
      </c>
      <c r="B115" s="67">
        <f>Dashboard!$C$5+(111-1)/12</f>
        <v/>
      </c>
      <c r="C115" s="27">
        <f>INDEX(Dashboard!$C$14:$C$21,MIN(8,INT((111-1)/60)+1))</f>
        <v/>
      </c>
      <c r="D115" s="62">
        <f>MIN(Dashboard!$C$9,INDEX(Settings!$B$19:$B$58,MIN(40,INT((111-1)/12)+1)))</f>
        <v/>
      </c>
      <c r="E115" s="62">
        <f>E114*(1+INDEX(Settings!$E$13:$E$16,MATCH(C115,Settings!$A$13:$A$16,0)))+D115</f>
        <v/>
      </c>
      <c r="F115" s="62">
        <f>F114*(1+INDEX(Settings!$I$13:$I$16,MATCH(C115,Settings!$A$13:$A$16,0)))+D115</f>
        <v/>
      </c>
      <c r="G115" s="62">
        <f>G114*(1+INDEX(Settings!$J$13:$J$16,MATCH(C115,Settings!$A$13:$A$16,0)))+D115</f>
        <v/>
      </c>
    </row>
    <row r="116">
      <c r="A116" s="45" t="n">
        <v>112</v>
      </c>
      <c r="B116" s="67">
        <f>Dashboard!$C$5+(112-1)/12</f>
        <v/>
      </c>
      <c r="C116" s="27">
        <f>INDEX(Dashboard!$C$14:$C$21,MIN(8,INT((112-1)/60)+1))</f>
        <v/>
      </c>
      <c r="D116" s="62">
        <f>MIN(Dashboard!$C$9,INDEX(Settings!$B$19:$B$58,MIN(40,INT((112-1)/12)+1)))</f>
        <v/>
      </c>
      <c r="E116" s="62">
        <f>E115*(1+INDEX(Settings!$E$13:$E$16,MATCH(C116,Settings!$A$13:$A$16,0)))+D116</f>
        <v/>
      </c>
      <c r="F116" s="62">
        <f>F115*(1+INDEX(Settings!$I$13:$I$16,MATCH(C116,Settings!$A$13:$A$16,0)))+D116</f>
        <v/>
      </c>
      <c r="G116" s="62">
        <f>G115*(1+INDEX(Settings!$J$13:$J$16,MATCH(C116,Settings!$A$13:$A$16,0)))+D116</f>
        <v/>
      </c>
    </row>
    <row r="117">
      <c r="A117" s="45" t="n">
        <v>113</v>
      </c>
      <c r="B117" s="67">
        <f>Dashboard!$C$5+(113-1)/12</f>
        <v/>
      </c>
      <c r="C117" s="27">
        <f>INDEX(Dashboard!$C$14:$C$21,MIN(8,INT((113-1)/60)+1))</f>
        <v/>
      </c>
      <c r="D117" s="62">
        <f>MIN(Dashboard!$C$9,INDEX(Settings!$B$19:$B$58,MIN(40,INT((113-1)/12)+1)))</f>
        <v/>
      </c>
      <c r="E117" s="62">
        <f>E116*(1+INDEX(Settings!$E$13:$E$16,MATCH(C117,Settings!$A$13:$A$16,0)))+D117</f>
        <v/>
      </c>
      <c r="F117" s="62">
        <f>F116*(1+INDEX(Settings!$I$13:$I$16,MATCH(C117,Settings!$A$13:$A$16,0)))+D117</f>
        <v/>
      </c>
      <c r="G117" s="62">
        <f>G116*(1+INDEX(Settings!$J$13:$J$16,MATCH(C117,Settings!$A$13:$A$16,0)))+D117</f>
        <v/>
      </c>
    </row>
    <row r="118">
      <c r="A118" s="45" t="n">
        <v>114</v>
      </c>
      <c r="B118" s="67">
        <f>Dashboard!$C$5+(114-1)/12</f>
        <v/>
      </c>
      <c r="C118" s="27">
        <f>INDEX(Dashboard!$C$14:$C$21,MIN(8,INT((114-1)/60)+1))</f>
        <v/>
      </c>
      <c r="D118" s="62">
        <f>MIN(Dashboard!$C$9,INDEX(Settings!$B$19:$B$58,MIN(40,INT((114-1)/12)+1)))</f>
        <v/>
      </c>
      <c r="E118" s="62">
        <f>E117*(1+INDEX(Settings!$E$13:$E$16,MATCH(C118,Settings!$A$13:$A$16,0)))+D118</f>
        <v/>
      </c>
      <c r="F118" s="62">
        <f>F117*(1+INDEX(Settings!$I$13:$I$16,MATCH(C118,Settings!$A$13:$A$16,0)))+D118</f>
        <v/>
      </c>
      <c r="G118" s="62">
        <f>G117*(1+INDEX(Settings!$J$13:$J$16,MATCH(C118,Settings!$A$13:$A$16,0)))+D118</f>
        <v/>
      </c>
    </row>
    <row r="119">
      <c r="A119" s="45" t="n">
        <v>115</v>
      </c>
      <c r="B119" s="67">
        <f>Dashboard!$C$5+(115-1)/12</f>
        <v/>
      </c>
      <c r="C119" s="27">
        <f>INDEX(Dashboard!$C$14:$C$21,MIN(8,INT((115-1)/60)+1))</f>
        <v/>
      </c>
      <c r="D119" s="62">
        <f>MIN(Dashboard!$C$9,INDEX(Settings!$B$19:$B$58,MIN(40,INT((115-1)/12)+1)))</f>
        <v/>
      </c>
      <c r="E119" s="62">
        <f>E118*(1+INDEX(Settings!$E$13:$E$16,MATCH(C119,Settings!$A$13:$A$16,0)))+D119</f>
        <v/>
      </c>
      <c r="F119" s="62">
        <f>F118*(1+INDEX(Settings!$I$13:$I$16,MATCH(C119,Settings!$A$13:$A$16,0)))+D119</f>
        <v/>
      </c>
      <c r="G119" s="62">
        <f>G118*(1+INDEX(Settings!$J$13:$J$16,MATCH(C119,Settings!$A$13:$A$16,0)))+D119</f>
        <v/>
      </c>
    </row>
    <row r="120">
      <c r="A120" s="45" t="n">
        <v>116</v>
      </c>
      <c r="B120" s="67">
        <f>Dashboard!$C$5+(116-1)/12</f>
        <v/>
      </c>
      <c r="C120" s="27">
        <f>INDEX(Dashboard!$C$14:$C$21,MIN(8,INT((116-1)/60)+1))</f>
        <v/>
      </c>
      <c r="D120" s="62">
        <f>MIN(Dashboard!$C$9,INDEX(Settings!$B$19:$B$58,MIN(40,INT((116-1)/12)+1)))</f>
        <v/>
      </c>
      <c r="E120" s="62">
        <f>E119*(1+INDEX(Settings!$E$13:$E$16,MATCH(C120,Settings!$A$13:$A$16,0)))+D120</f>
        <v/>
      </c>
      <c r="F120" s="62">
        <f>F119*(1+INDEX(Settings!$I$13:$I$16,MATCH(C120,Settings!$A$13:$A$16,0)))+D120</f>
        <v/>
      </c>
      <c r="G120" s="62">
        <f>G119*(1+INDEX(Settings!$J$13:$J$16,MATCH(C120,Settings!$A$13:$A$16,0)))+D120</f>
        <v/>
      </c>
    </row>
    <row r="121">
      <c r="A121" s="45" t="n">
        <v>117</v>
      </c>
      <c r="B121" s="67">
        <f>Dashboard!$C$5+(117-1)/12</f>
        <v/>
      </c>
      <c r="C121" s="27">
        <f>INDEX(Dashboard!$C$14:$C$21,MIN(8,INT((117-1)/60)+1))</f>
        <v/>
      </c>
      <c r="D121" s="62">
        <f>MIN(Dashboard!$C$9,INDEX(Settings!$B$19:$B$58,MIN(40,INT((117-1)/12)+1)))</f>
        <v/>
      </c>
      <c r="E121" s="62">
        <f>E120*(1+INDEX(Settings!$E$13:$E$16,MATCH(C121,Settings!$A$13:$A$16,0)))+D121</f>
        <v/>
      </c>
      <c r="F121" s="62">
        <f>F120*(1+INDEX(Settings!$I$13:$I$16,MATCH(C121,Settings!$A$13:$A$16,0)))+D121</f>
        <v/>
      </c>
      <c r="G121" s="62">
        <f>G120*(1+INDEX(Settings!$J$13:$J$16,MATCH(C121,Settings!$A$13:$A$16,0)))+D121</f>
        <v/>
      </c>
    </row>
    <row r="122">
      <c r="A122" s="45" t="n">
        <v>118</v>
      </c>
      <c r="B122" s="67">
        <f>Dashboard!$C$5+(118-1)/12</f>
        <v/>
      </c>
      <c r="C122" s="27">
        <f>INDEX(Dashboard!$C$14:$C$21,MIN(8,INT((118-1)/60)+1))</f>
        <v/>
      </c>
      <c r="D122" s="62">
        <f>MIN(Dashboard!$C$9,INDEX(Settings!$B$19:$B$58,MIN(40,INT((118-1)/12)+1)))</f>
        <v/>
      </c>
      <c r="E122" s="62">
        <f>E121*(1+INDEX(Settings!$E$13:$E$16,MATCH(C122,Settings!$A$13:$A$16,0)))+D122</f>
        <v/>
      </c>
      <c r="F122" s="62">
        <f>F121*(1+INDEX(Settings!$I$13:$I$16,MATCH(C122,Settings!$A$13:$A$16,0)))+D122</f>
        <v/>
      </c>
      <c r="G122" s="62">
        <f>G121*(1+INDEX(Settings!$J$13:$J$16,MATCH(C122,Settings!$A$13:$A$16,0)))+D122</f>
        <v/>
      </c>
    </row>
    <row r="123">
      <c r="A123" s="45" t="n">
        <v>119</v>
      </c>
      <c r="B123" s="67">
        <f>Dashboard!$C$5+(119-1)/12</f>
        <v/>
      </c>
      <c r="C123" s="27">
        <f>INDEX(Dashboard!$C$14:$C$21,MIN(8,INT((119-1)/60)+1))</f>
        <v/>
      </c>
      <c r="D123" s="62">
        <f>MIN(Dashboard!$C$9,INDEX(Settings!$B$19:$B$58,MIN(40,INT((119-1)/12)+1)))</f>
        <v/>
      </c>
      <c r="E123" s="62">
        <f>E122*(1+INDEX(Settings!$E$13:$E$16,MATCH(C123,Settings!$A$13:$A$16,0)))+D123</f>
        <v/>
      </c>
      <c r="F123" s="62">
        <f>F122*(1+INDEX(Settings!$I$13:$I$16,MATCH(C123,Settings!$A$13:$A$16,0)))+D123</f>
        <v/>
      </c>
      <c r="G123" s="62">
        <f>G122*(1+INDEX(Settings!$J$13:$J$16,MATCH(C123,Settings!$A$13:$A$16,0)))+D123</f>
        <v/>
      </c>
    </row>
    <row r="124">
      <c r="A124" s="45" t="n">
        <v>120</v>
      </c>
      <c r="B124" s="67">
        <f>Dashboard!$C$5+(120-1)/12</f>
        <v/>
      </c>
      <c r="C124" s="27">
        <f>INDEX(Dashboard!$C$14:$C$21,MIN(8,INT((120-1)/60)+1))</f>
        <v/>
      </c>
      <c r="D124" s="62">
        <f>MIN(Dashboard!$C$9,INDEX(Settings!$B$19:$B$58,MIN(40,INT((120-1)/12)+1)))</f>
        <v/>
      </c>
      <c r="E124" s="62">
        <f>E123*(1+INDEX(Settings!$E$13:$E$16,MATCH(C124,Settings!$A$13:$A$16,0)))+D124</f>
        <v/>
      </c>
      <c r="F124" s="62">
        <f>F123*(1+INDEX(Settings!$I$13:$I$16,MATCH(C124,Settings!$A$13:$A$16,0)))+D124</f>
        <v/>
      </c>
      <c r="G124" s="62">
        <f>G123*(1+INDEX(Settings!$J$13:$J$16,MATCH(C124,Settings!$A$13:$A$16,0)))+D124</f>
        <v/>
      </c>
    </row>
    <row r="125">
      <c r="A125" s="45" t="n">
        <v>121</v>
      </c>
      <c r="B125" s="67">
        <f>Dashboard!$C$5+(121-1)/12</f>
        <v/>
      </c>
      <c r="C125" s="27">
        <f>INDEX(Dashboard!$C$14:$C$21,MIN(8,INT((121-1)/60)+1))</f>
        <v/>
      </c>
      <c r="D125" s="62">
        <f>MIN(Dashboard!$C$9,INDEX(Settings!$B$19:$B$58,MIN(40,INT((121-1)/12)+1)))</f>
        <v/>
      </c>
      <c r="E125" s="62">
        <f>E124*(1+INDEX(Settings!$E$13:$E$16,MATCH(C125,Settings!$A$13:$A$16,0)))+D125</f>
        <v/>
      </c>
      <c r="F125" s="62">
        <f>F124*(1+INDEX(Settings!$I$13:$I$16,MATCH(C125,Settings!$A$13:$A$16,0)))+D125</f>
        <v/>
      </c>
      <c r="G125" s="62">
        <f>G124*(1+INDEX(Settings!$J$13:$J$16,MATCH(C125,Settings!$A$13:$A$16,0)))+D125</f>
        <v/>
      </c>
    </row>
    <row r="126">
      <c r="A126" s="45" t="n">
        <v>122</v>
      </c>
      <c r="B126" s="67">
        <f>Dashboard!$C$5+(122-1)/12</f>
        <v/>
      </c>
      <c r="C126" s="27">
        <f>INDEX(Dashboard!$C$14:$C$21,MIN(8,INT((122-1)/60)+1))</f>
        <v/>
      </c>
      <c r="D126" s="62">
        <f>MIN(Dashboard!$C$9,INDEX(Settings!$B$19:$B$58,MIN(40,INT((122-1)/12)+1)))</f>
        <v/>
      </c>
      <c r="E126" s="62">
        <f>E125*(1+INDEX(Settings!$E$13:$E$16,MATCH(C126,Settings!$A$13:$A$16,0)))+D126</f>
        <v/>
      </c>
      <c r="F126" s="62">
        <f>F125*(1+INDEX(Settings!$I$13:$I$16,MATCH(C126,Settings!$A$13:$A$16,0)))+D126</f>
        <v/>
      </c>
      <c r="G126" s="62">
        <f>G125*(1+INDEX(Settings!$J$13:$J$16,MATCH(C126,Settings!$A$13:$A$16,0)))+D126</f>
        <v/>
      </c>
    </row>
    <row r="127">
      <c r="A127" s="45" t="n">
        <v>123</v>
      </c>
      <c r="B127" s="67">
        <f>Dashboard!$C$5+(123-1)/12</f>
        <v/>
      </c>
      <c r="C127" s="27">
        <f>INDEX(Dashboard!$C$14:$C$21,MIN(8,INT((123-1)/60)+1))</f>
        <v/>
      </c>
      <c r="D127" s="62">
        <f>MIN(Dashboard!$C$9,INDEX(Settings!$B$19:$B$58,MIN(40,INT((123-1)/12)+1)))</f>
        <v/>
      </c>
      <c r="E127" s="62">
        <f>E126*(1+INDEX(Settings!$E$13:$E$16,MATCH(C127,Settings!$A$13:$A$16,0)))+D127</f>
        <v/>
      </c>
      <c r="F127" s="62">
        <f>F126*(1+INDEX(Settings!$I$13:$I$16,MATCH(C127,Settings!$A$13:$A$16,0)))+D127</f>
        <v/>
      </c>
      <c r="G127" s="62">
        <f>G126*(1+INDEX(Settings!$J$13:$J$16,MATCH(C127,Settings!$A$13:$A$16,0)))+D127</f>
        <v/>
      </c>
    </row>
    <row r="128">
      <c r="A128" s="45" t="n">
        <v>124</v>
      </c>
      <c r="B128" s="67">
        <f>Dashboard!$C$5+(124-1)/12</f>
        <v/>
      </c>
      <c r="C128" s="27">
        <f>INDEX(Dashboard!$C$14:$C$21,MIN(8,INT((124-1)/60)+1))</f>
        <v/>
      </c>
      <c r="D128" s="62">
        <f>MIN(Dashboard!$C$9,INDEX(Settings!$B$19:$B$58,MIN(40,INT((124-1)/12)+1)))</f>
        <v/>
      </c>
      <c r="E128" s="62">
        <f>E127*(1+INDEX(Settings!$E$13:$E$16,MATCH(C128,Settings!$A$13:$A$16,0)))+D128</f>
        <v/>
      </c>
      <c r="F128" s="62">
        <f>F127*(1+INDEX(Settings!$I$13:$I$16,MATCH(C128,Settings!$A$13:$A$16,0)))+D128</f>
        <v/>
      </c>
      <c r="G128" s="62">
        <f>G127*(1+INDEX(Settings!$J$13:$J$16,MATCH(C128,Settings!$A$13:$A$16,0)))+D128</f>
        <v/>
      </c>
    </row>
    <row r="129">
      <c r="A129" s="45" t="n">
        <v>125</v>
      </c>
      <c r="B129" s="67">
        <f>Dashboard!$C$5+(125-1)/12</f>
        <v/>
      </c>
      <c r="C129" s="27">
        <f>INDEX(Dashboard!$C$14:$C$21,MIN(8,INT((125-1)/60)+1))</f>
        <v/>
      </c>
      <c r="D129" s="62">
        <f>MIN(Dashboard!$C$9,INDEX(Settings!$B$19:$B$58,MIN(40,INT((125-1)/12)+1)))</f>
        <v/>
      </c>
      <c r="E129" s="62">
        <f>E128*(1+INDEX(Settings!$E$13:$E$16,MATCH(C129,Settings!$A$13:$A$16,0)))+D129</f>
        <v/>
      </c>
      <c r="F129" s="62">
        <f>F128*(1+INDEX(Settings!$I$13:$I$16,MATCH(C129,Settings!$A$13:$A$16,0)))+D129</f>
        <v/>
      </c>
      <c r="G129" s="62">
        <f>G128*(1+INDEX(Settings!$J$13:$J$16,MATCH(C129,Settings!$A$13:$A$16,0)))+D129</f>
        <v/>
      </c>
    </row>
    <row r="130">
      <c r="A130" s="45" t="n">
        <v>126</v>
      </c>
      <c r="B130" s="67">
        <f>Dashboard!$C$5+(126-1)/12</f>
        <v/>
      </c>
      <c r="C130" s="27">
        <f>INDEX(Dashboard!$C$14:$C$21,MIN(8,INT((126-1)/60)+1))</f>
        <v/>
      </c>
      <c r="D130" s="62">
        <f>MIN(Dashboard!$C$9,INDEX(Settings!$B$19:$B$58,MIN(40,INT((126-1)/12)+1)))</f>
        <v/>
      </c>
      <c r="E130" s="62">
        <f>E129*(1+INDEX(Settings!$E$13:$E$16,MATCH(C130,Settings!$A$13:$A$16,0)))+D130</f>
        <v/>
      </c>
      <c r="F130" s="62">
        <f>F129*(1+INDEX(Settings!$I$13:$I$16,MATCH(C130,Settings!$A$13:$A$16,0)))+D130</f>
        <v/>
      </c>
      <c r="G130" s="62">
        <f>G129*(1+INDEX(Settings!$J$13:$J$16,MATCH(C130,Settings!$A$13:$A$16,0)))+D130</f>
        <v/>
      </c>
    </row>
    <row r="131">
      <c r="A131" s="45" t="n">
        <v>127</v>
      </c>
      <c r="B131" s="67">
        <f>Dashboard!$C$5+(127-1)/12</f>
        <v/>
      </c>
      <c r="C131" s="27">
        <f>INDEX(Dashboard!$C$14:$C$21,MIN(8,INT((127-1)/60)+1))</f>
        <v/>
      </c>
      <c r="D131" s="62">
        <f>MIN(Dashboard!$C$9,INDEX(Settings!$B$19:$B$58,MIN(40,INT((127-1)/12)+1)))</f>
        <v/>
      </c>
      <c r="E131" s="62">
        <f>E130*(1+INDEX(Settings!$E$13:$E$16,MATCH(C131,Settings!$A$13:$A$16,0)))+D131</f>
        <v/>
      </c>
      <c r="F131" s="62">
        <f>F130*(1+INDEX(Settings!$I$13:$I$16,MATCH(C131,Settings!$A$13:$A$16,0)))+D131</f>
        <v/>
      </c>
      <c r="G131" s="62">
        <f>G130*(1+INDEX(Settings!$J$13:$J$16,MATCH(C131,Settings!$A$13:$A$16,0)))+D131</f>
        <v/>
      </c>
    </row>
    <row r="132">
      <c r="A132" s="45" t="n">
        <v>128</v>
      </c>
      <c r="B132" s="67">
        <f>Dashboard!$C$5+(128-1)/12</f>
        <v/>
      </c>
      <c r="C132" s="27">
        <f>INDEX(Dashboard!$C$14:$C$21,MIN(8,INT((128-1)/60)+1))</f>
        <v/>
      </c>
      <c r="D132" s="62">
        <f>MIN(Dashboard!$C$9,INDEX(Settings!$B$19:$B$58,MIN(40,INT((128-1)/12)+1)))</f>
        <v/>
      </c>
      <c r="E132" s="62">
        <f>E131*(1+INDEX(Settings!$E$13:$E$16,MATCH(C132,Settings!$A$13:$A$16,0)))+D132</f>
        <v/>
      </c>
      <c r="F132" s="62">
        <f>F131*(1+INDEX(Settings!$I$13:$I$16,MATCH(C132,Settings!$A$13:$A$16,0)))+D132</f>
        <v/>
      </c>
      <c r="G132" s="62">
        <f>G131*(1+INDEX(Settings!$J$13:$J$16,MATCH(C132,Settings!$A$13:$A$16,0)))+D132</f>
        <v/>
      </c>
    </row>
    <row r="133">
      <c r="A133" s="45" t="n">
        <v>129</v>
      </c>
      <c r="B133" s="67">
        <f>Dashboard!$C$5+(129-1)/12</f>
        <v/>
      </c>
      <c r="C133" s="27">
        <f>INDEX(Dashboard!$C$14:$C$21,MIN(8,INT((129-1)/60)+1))</f>
        <v/>
      </c>
      <c r="D133" s="62">
        <f>MIN(Dashboard!$C$9,INDEX(Settings!$B$19:$B$58,MIN(40,INT((129-1)/12)+1)))</f>
        <v/>
      </c>
      <c r="E133" s="62">
        <f>E132*(1+INDEX(Settings!$E$13:$E$16,MATCH(C133,Settings!$A$13:$A$16,0)))+D133</f>
        <v/>
      </c>
      <c r="F133" s="62">
        <f>F132*(1+INDEX(Settings!$I$13:$I$16,MATCH(C133,Settings!$A$13:$A$16,0)))+D133</f>
        <v/>
      </c>
      <c r="G133" s="62">
        <f>G132*(1+INDEX(Settings!$J$13:$J$16,MATCH(C133,Settings!$A$13:$A$16,0)))+D133</f>
        <v/>
      </c>
    </row>
    <row r="134">
      <c r="A134" s="45" t="n">
        <v>130</v>
      </c>
      <c r="B134" s="67">
        <f>Dashboard!$C$5+(130-1)/12</f>
        <v/>
      </c>
      <c r="C134" s="27">
        <f>INDEX(Dashboard!$C$14:$C$21,MIN(8,INT((130-1)/60)+1))</f>
        <v/>
      </c>
      <c r="D134" s="62">
        <f>MIN(Dashboard!$C$9,INDEX(Settings!$B$19:$B$58,MIN(40,INT((130-1)/12)+1)))</f>
        <v/>
      </c>
      <c r="E134" s="62">
        <f>E133*(1+INDEX(Settings!$E$13:$E$16,MATCH(C134,Settings!$A$13:$A$16,0)))+D134</f>
        <v/>
      </c>
      <c r="F134" s="62">
        <f>F133*(1+INDEX(Settings!$I$13:$I$16,MATCH(C134,Settings!$A$13:$A$16,0)))+D134</f>
        <v/>
      </c>
      <c r="G134" s="62">
        <f>G133*(1+INDEX(Settings!$J$13:$J$16,MATCH(C134,Settings!$A$13:$A$16,0)))+D134</f>
        <v/>
      </c>
    </row>
    <row r="135">
      <c r="A135" s="45" t="n">
        <v>131</v>
      </c>
      <c r="B135" s="67">
        <f>Dashboard!$C$5+(131-1)/12</f>
        <v/>
      </c>
      <c r="C135" s="27">
        <f>INDEX(Dashboard!$C$14:$C$21,MIN(8,INT((131-1)/60)+1))</f>
        <v/>
      </c>
      <c r="D135" s="62">
        <f>MIN(Dashboard!$C$9,INDEX(Settings!$B$19:$B$58,MIN(40,INT((131-1)/12)+1)))</f>
        <v/>
      </c>
      <c r="E135" s="62">
        <f>E134*(1+INDEX(Settings!$E$13:$E$16,MATCH(C135,Settings!$A$13:$A$16,0)))+D135</f>
        <v/>
      </c>
      <c r="F135" s="62">
        <f>F134*(1+INDEX(Settings!$I$13:$I$16,MATCH(C135,Settings!$A$13:$A$16,0)))+D135</f>
        <v/>
      </c>
      <c r="G135" s="62">
        <f>G134*(1+INDEX(Settings!$J$13:$J$16,MATCH(C135,Settings!$A$13:$A$16,0)))+D135</f>
        <v/>
      </c>
    </row>
    <row r="136">
      <c r="A136" s="45" t="n">
        <v>132</v>
      </c>
      <c r="B136" s="67">
        <f>Dashboard!$C$5+(132-1)/12</f>
        <v/>
      </c>
      <c r="C136" s="27">
        <f>INDEX(Dashboard!$C$14:$C$21,MIN(8,INT((132-1)/60)+1))</f>
        <v/>
      </c>
      <c r="D136" s="62">
        <f>MIN(Dashboard!$C$9,INDEX(Settings!$B$19:$B$58,MIN(40,INT((132-1)/12)+1)))</f>
        <v/>
      </c>
      <c r="E136" s="62">
        <f>E135*(1+INDEX(Settings!$E$13:$E$16,MATCH(C136,Settings!$A$13:$A$16,0)))+D136</f>
        <v/>
      </c>
      <c r="F136" s="62">
        <f>F135*(1+INDEX(Settings!$I$13:$I$16,MATCH(C136,Settings!$A$13:$A$16,0)))+D136</f>
        <v/>
      </c>
      <c r="G136" s="62">
        <f>G135*(1+INDEX(Settings!$J$13:$J$16,MATCH(C136,Settings!$A$13:$A$16,0)))+D136</f>
        <v/>
      </c>
    </row>
    <row r="137">
      <c r="A137" s="45" t="n">
        <v>133</v>
      </c>
      <c r="B137" s="67">
        <f>Dashboard!$C$5+(133-1)/12</f>
        <v/>
      </c>
      <c r="C137" s="27">
        <f>INDEX(Dashboard!$C$14:$C$21,MIN(8,INT((133-1)/60)+1))</f>
        <v/>
      </c>
      <c r="D137" s="62">
        <f>MIN(Dashboard!$C$9,INDEX(Settings!$B$19:$B$58,MIN(40,INT((133-1)/12)+1)))</f>
        <v/>
      </c>
      <c r="E137" s="62">
        <f>E136*(1+INDEX(Settings!$E$13:$E$16,MATCH(C137,Settings!$A$13:$A$16,0)))+D137</f>
        <v/>
      </c>
      <c r="F137" s="62">
        <f>F136*(1+INDEX(Settings!$I$13:$I$16,MATCH(C137,Settings!$A$13:$A$16,0)))+D137</f>
        <v/>
      </c>
      <c r="G137" s="62">
        <f>G136*(1+INDEX(Settings!$J$13:$J$16,MATCH(C137,Settings!$A$13:$A$16,0)))+D137</f>
        <v/>
      </c>
    </row>
    <row r="138">
      <c r="A138" s="45" t="n">
        <v>134</v>
      </c>
      <c r="B138" s="67">
        <f>Dashboard!$C$5+(134-1)/12</f>
        <v/>
      </c>
      <c r="C138" s="27">
        <f>INDEX(Dashboard!$C$14:$C$21,MIN(8,INT((134-1)/60)+1))</f>
        <v/>
      </c>
      <c r="D138" s="62">
        <f>MIN(Dashboard!$C$9,INDEX(Settings!$B$19:$B$58,MIN(40,INT((134-1)/12)+1)))</f>
        <v/>
      </c>
      <c r="E138" s="62">
        <f>E137*(1+INDEX(Settings!$E$13:$E$16,MATCH(C138,Settings!$A$13:$A$16,0)))+D138</f>
        <v/>
      </c>
      <c r="F138" s="62">
        <f>F137*(1+INDEX(Settings!$I$13:$I$16,MATCH(C138,Settings!$A$13:$A$16,0)))+D138</f>
        <v/>
      </c>
      <c r="G138" s="62">
        <f>G137*(1+INDEX(Settings!$J$13:$J$16,MATCH(C138,Settings!$A$13:$A$16,0)))+D138</f>
        <v/>
      </c>
    </row>
    <row r="139">
      <c r="A139" s="45" t="n">
        <v>135</v>
      </c>
      <c r="B139" s="67">
        <f>Dashboard!$C$5+(135-1)/12</f>
        <v/>
      </c>
      <c r="C139" s="27">
        <f>INDEX(Dashboard!$C$14:$C$21,MIN(8,INT((135-1)/60)+1))</f>
        <v/>
      </c>
      <c r="D139" s="62">
        <f>MIN(Dashboard!$C$9,INDEX(Settings!$B$19:$B$58,MIN(40,INT((135-1)/12)+1)))</f>
        <v/>
      </c>
      <c r="E139" s="62">
        <f>E138*(1+INDEX(Settings!$E$13:$E$16,MATCH(C139,Settings!$A$13:$A$16,0)))+D139</f>
        <v/>
      </c>
      <c r="F139" s="62">
        <f>F138*(1+INDEX(Settings!$I$13:$I$16,MATCH(C139,Settings!$A$13:$A$16,0)))+D139</f>
        <v/>
      </c>
      <c r="G139" s="62">
        <f>G138*(1+INDEX(Settings!$J$13:$J$16,MATCH(C139,Settings!$A$13:$A$16,0)))+D139</f>
        <v/>
      </c>
    </row>
    <row r="140">
      <c r="A140" s="45" t="n">
        <v>136</v>
      </c>
      <c r="B140" s="67">
        <f>Dashboard!$C$5+(136-1)/12</f>
        <v/>
      </c>
      <c r="C140" s="27">
        <f>INDEX(Dashboard!$C$14:$C$21,MIN(8,INT((136-1)/60)+1))</f>
        <v/>
      </c>
      <c r="D140" s="62">
        <f>MIN(Dashboard!$C$9,INDEX(Settings!$B$19:$B$58,MIN(40,INT((136-1)/12)+1)))</f>
        <v/>
      </c>
      <c r="E140" s="62">
        <f>E139*(1+INDEX(Settings!$E$13:$E$16,MATCH(C140,Settings!$A$13:$A$16,0)))+D140</f>
        <v/>
      </c>
      <c r="F140" s="62">
        <f>F139*(1+INDEX(Settings!$I$13:$I$16,MATCH(C140,Settings!$A$13:$A$16,0)))+D140</f>
        <v/>
      </c>
      <c r="G140" s="62">
        <f>G139*(1+INDEX(Settings!$J$13:$J$16,MATCH(C140,Settings!$A$13:$A$16,0)))+D140</f>
        <v/>
      </c>
    </row>
    <row r="141">
      <c r="A141" s="45" t="n">
        <v>137</v>
      </c>
      <c r="B141" s="67">
        <f>Dashboard!$C$5+(137-1)/12</f>
        <v/>
      </c>
      <c r="C141" s="27">
        <f>INDEX(Dashboard!$C$14:$C$21,MIN(8,INT((137-1)/60)+1))</f>
        <v/>
      </c>
      <c r="D141" s="62">
        <f>MIN(Dashboard!$C$9,INDEX(Settings!$B$19:$B$58,MIN(40,INT((137-1)/12)+1)))</f>
        <v/>
      </c>
      <c r="E141" s="62">
        <f>E140*(1+INDEX(Settings!$E$13:$E$16,MATCH(C141,Settings!$A$13:$A$16,0)))+D141</f>
        <v/>
      </c>
      <c r="F141" s="62">
        <f>F140*(1+INDEX(Settings!$I$13:$I$16,MATCH(C141,Settings!$A$13:$A$16,0)))+D141</f>
        <v/>
      </c>
      <c r="G141" s="62">
        <f>G140*(1+INDEX(Settings!$J$13:$J$16,MATCH(C141,Settings!$A$13:$A$16,0)))+D141</f>
        <v/>
      </c>
    </row>
    <row r="142">
      <c r="A142" s="45" t="n">
        <v>138</v>
      </c>
      <c r="B142" s="67">
        <f>Dashboard!$C$5+(138-1)/12</f>
        <v/>
      </c>
      <c r="C142" s="27">
        <f>INDEX(Dashboard!$C$14:$C$21,MIN(8,INT((138-1)/60)+1))</f>
        <v/>
      </c>
      <c r="D142" s="62">
        <f>MIN(Dashboard!$C$9,INDEX(Settings!$B$19:$B$58,MIN(40,INT((138-1)/12)+1)))</f>
        <v/>
      </c>
      <c r="E142" s="62">
        <f>E141*(1+INDEX(Settings!$E$13:$E$16,MATCH(C142,Settings!$A$13:$A$16,0)))+D142</f>
        <v/>
      </c>
      <c r="F142" s="62">
        <f>F141*(1+INDEX(Settings!$I$13:$I$16,MATCH(C142,Settings!$A$13:$A$16,0)))+D142</f>
        <v/>
      </c>
      <c r="G142" s="62">
        <f>G141*(1+INDEX(Settings!$J$13:$J$16,MATCH(C142,Settings!$A$13:$A$16,0)))+D142</f>
        <v/>
      </c>
    </row>
    <row r="143">
      <c r="A143" s="45" t="n">
        <v>139</v>
      </c>
      <c r="B143" s="67">
        <f>Dashboard!$C$5+(139-1)/12</f>
        <v/>
      </c>
      <c r="C143" s="27">
        <f>INDEX(Dashboard!$C$14:$C$21,MIN(8,INT((139-1)/60)+1))</f>
        <v/>
      </c>
      <c r="D143" s="62">
        <f>MIN(Dashboard!$C$9,INDEX(Settings!$B$19:$B$58,MIN(40,INT((139-1)/12)+1)))</f>
        <v/>
      </c>
      <c r="E143" s="62">
        <f>E142*(1+INDEX(Settings!$E$13:$E$16,MATCH(C143,Settings!$A$13:$A$16,0)))+D143</f>
        <v/>
      </c>
      <c r="F143" s="62">
        <f>F142*(1+INDEX(Settings!$I$13:$I$16,MATCH(C143,Settings!$A$13:$A$16,0)))+D143</f>
        <v/>
      </c>
      <c r="G143" s="62">
        <f>G142*(1+INDEX(Settings!$J$13:$J$16,MATCH(C143,Settings!$A$13:$A$16,0)))+D143</f>
        <v/>
      </c>
    </row>
    <row r="144">
      <c r="A144" s="45" t="n">
        <v>140</v>
      </c>
      <c r="B144" s="67">
        <f>Dashboard!$C$5+(140-1)/12</f>
        <v/>
      </c>
      <c r="C144" s="27">
        <f>INDEX(Dashboard!$C$14:$C$21,MIN(8,INT((140-1)/60)+1))</f>
        <v/>
      </c>
      <c r="D144" s="62">
        <f>MIN(Dashboard!$C$9,INDEX(Settings!$B$19:$B$58,MIN(40,INT((140-1)/12)+1)))</f>
        <v/>
      </c>
      <c r="E144" s="62">
        <f>E143*(1+INDEX(Settings!$E$13:$E$16,MATCH(C144,Settings!$A$13:$A$16,0)))+D144</f>
        <v/>
      </c>
      <c r="F144" s="62">
        <f>F143*(1+INDEX(Settings!$I$13:$I$16,MATCH(C144,Settings!$A$13:$A$16,0)))+D144</f>
        <v/>
      </c>
      <c r="G144" s="62">
        <f>G143*(1+INDEX(Settings!$J$13:$J$16,MATCH(C144,Settings!$A$13:$A$16,0)))+D144</f>
        <v/>
      </c>
    </row>
    <row r="145">
      <c r="A145" s="45" t="n">
        <v>141</v>
      </c>
      <c r="B145" s="67">
        <f>Dashboard!$C$5+(141-1)/12</f>
        <v/>
      </c>
      <c r="C145" s="27">
        <f>INDEX(Dashboard!$C$14:$C$21,MIN(8,INT((141-1)/60)+1))</f>
        <v/>
      </c>
      <c r="D145" s="62">
        <f>MIN(Dashboard!$C$9,INDEX(Settings!$B$19:$B$58,MIN(40,INT((141-1)/12)+1)))</f>
        <v/>
      </c>
      <c r="E145" s="62">
        <f>E144*(1+INDEX(Settings!$E$13:$E$16,MATCH(C145,Settings!$A$13:$A$16,0)))+D145</f>
        <v/>
      </c>
      <c r="F145" s="62">
        <f>F144*(1+INDEX(Settings!$I$13:$I$16,MATCH(C145,Settings!$A$13:$A$16,0)))+D145</f>
        <v/>
      </c>
      <c r="G145" s="62">
        <f>G144*(1+INDEX(Settings!$J$13:$J$16,MATCH(C145,Settings!$A$13:$A$16,0)))+D145</f>
        <v/>
      </c>
    </row>
    <row r="146">
      <c r="A146" s="45" t="n">
        <v>142</v>
      </c>
      <c r="B146" s="67">
        <f>Dashboard!$C$5+(142-1)/12</f>
        <v/>
      </c>
      <c r="C146" s="27">
        <f>INDEX(Dashboard!$C$14:$C$21,MIN(8,INT((142-1)/60)+1))</f>
        <v/>
      </c>
      <c r="D146" s="62">
        <f>MIN(Dashboard!$C$9,INDEX(Settings!$B$19:$B$58,MIN(40,INT((142-1)/12)+1)))</f>
        <v/>
      </c>
      <c r="E146" s="62">
        <f>E145*(1+INDEX(Settings!$E$13:$E$16,MATCH(C146,Settings!$A$13:$A$16,0)))+D146</f>
        <v/>
      </c>
      <c r="F146" s="62">
        <f>F145*(1+INDEX(Settings!$I$13:$I$16,MATCH(C146,Settings!$A$13:$A$16,0)))+D146</f>
        <v/>
      </c>
      <c r="G146" s="62">
        <f>G145*(1+INDEX(Settings!$J$13:$J$16,MATCH(C146,Settings!$A$13:$A$16,0)))+D146</f>
        <v/>
      </c>
    </row>
    <row r="147">
      <c r="A147" s="45" t="n">
        <v>143</v>
      </c>
      <c r="B147" s="67">
        <f>Dashboard!$C$5+(143-1)/12</f>
        <v/>
      </c>
      <c r="C147" s="27">
        <f>INDEX(Dashboard!$C$14:$C$21,MIN(8,INT((143-1)/60)+1))</f>
        <v/>
      </c>
      <c r="D147" s="62">
        <f>MIN(Dashboard!$C$9,INDEX(Settings!$B$19:$B$58,MIN(40,INT((143-1)/12)+1)))</f>
        <v/>
      </c>
      <c r="E147" s="62">
        <f>E146*(1+INDEX(Settings!$E$13:$E$16,MATCH(C147,Settings!$A$13:$A$16,0)))+D147</f>
        <v/>
      </c>
      <c r="F147" s="62">
        <f>F146*(1+INDEX(Settings!$I$13:$I$16,MATCH(C147,Settings!$A$13:$A$16,0)))+D147</f>
        <v/>
      </c>
      <c r="G147" s="62">
        <f>G146*(1+INDEX(Settings!$J$13:$J$16,MATCH(C147,Settings!$A$13:$A$16,0)))+D147</f>
        <v/>
      </c>
    </row>
    <row r="148">
      <c r="A148" s="45" t="n">
        <v>144</v>
      </c>
      <c r="B148" s="67">
        <f>Dashboard!$C$5+(144-1)/12</f>
        <v/>
      </c>
      <c r="C148" s="27">
        <f>INDEX(Dashboard!$C$14:$C$21,MIN(8,INT((144-1)/60)+1))</f>
        <v/>
      </c>
      <c r="D148" s="62">
        <f>MIN(Dashboard!$C$9,INDEX(Settings!$B$19:$B$58,MIN(40,INT((144-1)/12)+1)))</f>
        <v/>
      </c>
      <c r="E148" s="62">
        <f>E147*(1+INDEX(Settings!$E$13:$E$16,MATCH(C148,Settings!$A$13:$A$16,0)))+D148</f>
        <v/>
      </c>
      <c r="F148" s="62">
        <f>F147*(1+INDEX(Settings!$I$13:$I$16,MATCH(C148,Settings!$A$13:$A$16,0)))+D148</f>
        <v/>
      </c>
      <c r="G148" s="62">
        <f>G147*(1+INDEX(Settings!$J$13:$J$16,MATCH(C148,Settings!$A$13:$A$16,0)))+D148</f>
        <v/>
      </c>
    </row>
    <row r="149">
      <c r="A149" s="45" t="n">
        <v>145</v>
      </c>
      <c r="B149" s="67">
        <f>Dashboard!$C$5+(145-1)/12</f>
        <v/>
      </c>
      <c r="C149" s="27">
        <f>INDEX(Dashboard!$C$14:$C$21,MIN(8,INT((145-1)/60)+1))</f>
        <v/>
      </c>
      <c r="D149" s="62">
        <f>MIN(Dashboard!$C$9,INDEX(Settings!$B$19:$B$58,MIN(40,INT((145-1)/12)+1)))</f>
        <v/>
      </c>
      <c r="E149" s="62">
        <f>E148*(1+INDEX(Settings!$E$13:$E$16,MATCH(C149,Settings!$A$13:$A$16,0)))+D149</f>
        <v/>
      </c>
      <c r="F149" s="62">
        <f>F148*(1+INDEX(Settings!$I$13:$I$16,MATCH(C149,Settings!$A$13:$A$16,0)))+D149</f>
        <v/>
      </c>
      <c r="G149" s="62">
        <f>G148*(1+INDEX(Settings!$J$13:$J$16,MATCH(C149,Settings!$A$13:$A$16,0)))+D149</f>
        <v/>
      </c>
    </row>
    <row r="150">
      <c r="A150" s="45" t="n">
        <v>146</v>
      </c>
      <c r="B150" s="67">
        <f>Dashboard!$C$5+(146-1)/12</f>
        <v/>
      </c>
      <c r="C150" s="27">
        <f>INDEX(Dashboard!$C$14:$C$21,MIN(8,INT((146-1)/60)+1))</f>
        <v/>
      </c>
      <c r="D150" s="62">
        <f>MIN(Dashboard!$C$9,INDEX(Settings!$B$19:$B$58,MIN(40,INT((146-1)/12)+1)))</f>
        <v/>
      </c>
      <c r="E150" s="62">
        <f>E149*(1+INDEX(Settings!$E$13:$E$16,MATCH(C150,Settings!$A$13:$A$16,0)))+D150</f>
        <v/>
      </c>
      <c r="F150" s="62">
        <f>F149*(1+INDEX(Settings!$I$13:$I$16,MATCH(C150,Settings!$A$13:$A$16,0)))+D150</f>
        <v/>
      </c>
      <c r="G150" s="62">
        <f>G149*(1+INDEX(Settings!$J$13:$J$16,MATCH(C150,Settings!$A$13:$A$16,0)))+D150</f>
        <v/>
      </c>
    </row>
    <row r="151">
      <c r="A151" s="45" t="n">
        <v>147</v>
      </c>
      <c r="B151" s="67">
        <f>Dashboard!$C$5+(147-1)/12</f>
        <v/>
      </c>
      <c r="C151" s="27">
        <f>INDEX(Dashboard!$C$14:$C$21,MIN(8,INT((147-1)/60)+1))</f>
        <v/>
      </c>
      <c r="D151" s="62">
        <f>MIN(Dashboard!$C$9,INDEX(Settings!$B$19:$B$58,MIN(40,INT((147-1)/12)+1)))</f>
        <v/>
      </c>
      <c r="E151" s="62">
        <f>E150*(1+INDEX(Settings!$E$13:$E$16,MATCH(C151,Settings!$A$13:$A$16,0)))+D151</f>
        <v/>
      </c>
      <c r="F151" s="62">
        <f>F150*(1+INDEX(Settings!$I$13:$I$16,MATCH(C151,Settings!$A$13:$A$16,0)))+D151</f>
        <v/>
      </c>
      <c r="G151" s="62">
        <f>G150*(1+INDEX(Settings!$J$13:$J$16,MATCH(C151,Settings!$A$13:$A$16,0)))+D151</f>
        <v/>
      </c>
    </row>
    <row r="152">
      <c r="A152" s="45" t="n">
        <v>148</v>
      </c>
      <c r="B152" s="67">
        <f>Dashboard!$C$5+(148-1)/12</f>
        <v/>
      </c>
      <c r="C152" s="27">
        <f>INDEX(Dashboard!$C$14:$C$21,MIN(8,INT((148-1)/60)+1))</f>
        <v/>
      </c>
      <c r="D152" s="62">
        <f>MIN(Dashboard!$C$9,INDEX(Settings!$B$19:$B$58,MIN(40,INT((148-1)/12)+1)))</f>
        <v/>
      </c>
      <c r="E152" s="62">
        <f>E151*(1+INDEX(Settings!$E$13:$E$16,MATCH(C152,Settings!$A$13:$A$16,0)))+D152</f>
        <v/>
      </c>
      <c r="F152" s="62">
        <f>F151*(1+INDEX(Settings!$I$13:$I$16,MATCH(C152,Settings!$A$13:$A$16,0)))+D152</f>
        <v/>
      </c>
      <c r="G152" s="62">
        <f>G151*(1+INDEX(Settings!$J$13:$J$16,MATCH(C152,Settings!$A$13:$A$16,0)))+D152</f>
        <v/>
      </c>
    </row>
    <row r="153">
      <c r="A153" s="45" t="n">
        <v>149</v>
      </c>
      <c r="B153" s="67">
        <f>Dashboard!$C$5+(149-1)/12</f>
        <v/>
      </c>
      <c r="C153" s="27">
        <f>INDEX(Dashboard!$C$14:$C$21,MIN(8,INT((149-1)/60)+1))</f>
        <v/>
      </c>
      <c r="D153" s="62">
        <f>MIN(Dashboard!$C$9,INDEX(Settings!$B$19:$B$58,MIN(40,INT((149-1)/12)+1)))</f>
        <v/>
      </c>
      <c r="E153" s="62">
        <f>E152*(1+INDEX(Settings!$E$13:$E$16,MATCH(C153,Settings!$A$13:$A$16,0)))+D153</f>
        <v/>
      </c>
      <c r="F153" s="62">
        <f>F152*(1+INDEX(Settings!$I$13:$I$16,MATCH(C153,Settings!$A$13:$A$16,0)))+D153</f>
        <v/>
      </c>
      <c r="G153" s="62">
        <f>G152*(1+INDEX(Settings!$J$13:$J$16,MATCH(C153,Settings!$A$13:$A$16,0)))+D153</f>
        <v/>
      </c>
    </row>
    <row r="154">
      <c r="A154" s="45" t="n">
        <v>150</v>
      </c>
      <c r="B154" s="67">
        <f>Dashboard!$C$5+(150-1)/12</f>
        <v/>
      </c>
      <c r="C154" s="27">
        <f>INDEX(Dashboard!$C$14:$C$21,MIN(8,INT((150-1)/60)+1))</f>
        <v/>
      </c>
      <c r="D154" s="62">
        <f>MIN(Dashboard!$C$9,INDEX(Settings!$B$19:$B$58,MIN(40,INT((150-1)/12)+1)))</f>
        <v/>
      </c>
      <c r="E154" s="62">
        <f>E153*(1+INDEX(Settings!$E$13:$E$16,MATCH(C154,Settings!$A$13:$A$16,0)))+D154</f>
        <v/>
      </c>
      <c r="F154" s="62">
        <f>F153*(1+INDEX(Settings!$I$13:$I$16,MATCH(C154,Settings!$A$13:$A$16,0)))+D154</f>
        <v/>
      </c>
      <c r="G154" s="62">
        <f>G153*(1+INDEX(Settings!$J$13:$J$16,MATCH(C154,Settings!$A$13:$A$16,0)))+D154</f>
        <v/>
      </c>
    </row>
    <row r="155">
      <c r="A155" s="45" t="n">
        <v>151</v>
      </c>
      <c r="B155" s="67">
        <f>Dashboard!$C$5+(151-1)/12</f>
        <v/>
      </c>
      <c r="C155" s="27">
        <f>INDEX(Dashboard!$C$14:$C$21,MIN(8,INT((151-1)/60)+1))</f>
        <v/>
      </c>
      <c r="D155" s="62">
        <f>MIN(Dashboard!$C$9,INDEX(Settings!$B$19:$B$58,MIN(40,INT((151-1)/12)+1)))</f>
        <v/>
      </c>
      <c r="E155" s="62">
        <f>E154*(1+INDEX(Settings!$E$13:$E$16,MATCH(C155,Settings!$A$13:$A$16,0)))+D155</f>
        <v/>
      </c>
      <c r="F155" s="62">
        <f>F154*(1+INDEX(Settings!$I$13:$I$16,MATCH(C155,Settings!$A$13:$A$16,0)))+D155</f>
        <v/>
      </c>
      <c r="G155" s="62">
        <f>G154*(1+INDEX(Settings!$J$13:$J$16,MATCH(C155,Settings!$A$13:$A$16,0)))+D155</f>
        <v/>
      </c>
    </row>
    <row r="156">
      <c r="A156" s="45" t="n">
        <v>152</v>
      </c>
      <c r="B156" s="67">
        <f>Dashboard!$C$5+(152-1)/12</f>
        <v/>
      </c>
      <c r="C156" s="27">
        <f>INDEX(Dashboard!$C$14:$C$21,MIN(8,INT((152-1)/60)+1))</f>
        <v/>
      </c>
      <c r="D156" s="62">
        <f>MIN(Dashboard!$C$9,INDEX(Settings!$B$19:$B$58,MIN(40,INT((152-1)/12)+1)))</f>
        <v/>
      </c>
      <c r="E156" s="62">
        <f>E155*(1+INDEX(Settings!$E$13:$E$16,MATCH(C156,Settings!$A$13:$A$16,0)))+D156</f>
        <v/>
      </c>
      <c r="F156" s="62">
        <f>F155*(1+INDEX(Settings!$I$13:$I$16,MATCH(C156,Settings!$A$13:$A$16,0)))+D156</f>
        <v/>
      </c>
      <c r="G156" s="62">
        <f>G155*(1+INDEX(Settings!$J$13:$J$16,MATCH(C156,Settings!$A$13:$A$16,0)))+D156</f>
        <v/>
      </c>
    </row>
    <row r="157">
      <c r="A157" s="45" t="n">
        <v>153</v>
      </c>
      <c r="B157" s="67">
        <f>Dashboard!$C$5+(153-1)/12</f>
        <v/>
      </c>
      <c r="C157" s="27">
        <f>INDEX(Dashboard!$C$14:$C$21,MIN(8,INT((153-1)/60)+1))</f>
        <v/>
      </c>
      <c r="D157" s="62">
        <f>MIN(Dashboard!$C$9,INDEX(Settings!$B$19:$B$58,MIN(40,INT((153-1)/12)+1)))</f>
        <v/>
      </c>
      <c r="E157" s="62">
        <f>E156*(1+INDEX(Settings!$E$13:$E$16,MATCH(C157,Settings!$A$13:$A$16,0)))+D157</f>
        <v/>
      </c>
      <c r="F157" s="62">
        <f>F156*(1+INDEX(Settings!$I$13:$I$16,MATCH(C157,Settings!$A$13:$A$16,0)))+D157</f>
        <v/>
      </c>
      <c r="G157" s="62">
        <f>G156*(1+INDEX(Settings!$J$13:$J$16,MATCH(C157,Settings!$A$13:$A$16,0)))+D157</f>
        <v/>
      </c>
    </row>
    <row r="158">
      <c r="A158" s="45" t="n">
        <v>154</v>
      </c>
      <c r="B158" s="67">
        <f>Dashboard!$C$5+(154-1)/12</f>
        <v/>
      </c>
      <c r="C158" s="27">
        <f>INDEX(Dashboard!$C$14:$C$21,MIN(8,INT((154-1)/60)+1))</f>
        <v/>
      </c>
      <c r="D158" s="62">
        <f>MIN(Dashboard!$C$9,INDEX(Settings!$B$19:$B$58,MIN(40,INT((154-1)/12)+1)))</f>
        <v/>
      </c>
      <c r="E158" s="62">
        <f>E157*(1+INDEX(Settings!$E$13:$E$16,MATCH(C158,Settings!$A$13:$A$16,0)))+D158</f>
        <v/>
      </c>
      <c r="F158" s="62">
        <f>F157*(1+INDEX(Settings!$I$13:$I$16,MATCH(C158,Settings!$A$13:$A$16,0)))+D158</f>
        <v/>
      </c>
      <c r="G158" s="62">
        <f>G157*(1+INDEX(Settings!$J$13:$J$16,MATCH(C158,Settings!$A$13:$A$16,0)))+D158</f>
        <v/>
      </c>
    </row>
    <row r="159">
      <c r="A159" s="45" t="n">
        <v>155</v>
      </c>
      <c r="B159" s="67">
        <f>Dashboard!$C$5+(155-1)/12</f>
        <v/>
      </c>
      <c r="C159" s="27">
        <f>INDEX(Dashboard!$C$14:$C$21,MIN(8,INT((155-1)/60)+1))</f>
        <v/>
      </c>
      <c r="D159" s="62">
        <f>MIN(Dashboard!$C$9,INDEX(Settings!$B$19:$B$58,MIN(40,INT((155-1)/12)+1)))</f>
        <v/>
      </c>
      <c r="E159" s="62">
        <f>E158*(1+INDEX(Settings!$E$13:$E$16,MATCH(C159,Settings!$A$13:$A$16,0)))+D159</f>
        <v/>
      </c>
      <c r="F159" s="62">
        <f>F158*(1+INDEX(Settings!$I$13:$I$16,MATCH(C159,Settings!$A$13:$A$16,0)))+D159</f>
        <v/>
      </c>
      <c r="G159" s="62">
        <f>G158*(1+INDEX(Settings!$J$13:$J$16,MATCH(C159,Settings!$A$13:$A$16,0)))+D159</f>
        <v/>
      </c>
    </row>
    <row r="160">
      <c r="A160" s="45" t="n">
        <v>156</v>
      </c>
      <c r="B160" s="67">
        <f>Dashboard!$C$5+(156-1)/12</f>
        <v/>
      </c>
      <c r="C160" s="27">
        <f>INDEX(Dashboard!$C$14:$C$21,MIN(8,INT((156-1)/60)+1))</f>
        <v/>
      </c>
      <c r="D160" s="62">
        <f>MIN(Dashboard!$C$9,INDEX(Settings!$B$19:$B$58,MIN(40,INT((156-1)/12)+1)))</f>
        <v/>
      </c>
      <c r="E160" s="62">
        <f>E159*(1+INDEX(Settings!$E$13:$E$16,MATCH(C160,Settings!$A$13:$A$16,0)))+D160</f>
        <v/>
      </c>
      <c r="F160" s="62">
        <f>F159*(1+INDEX(Settings!$I$13:$I$16,MATCH(C160,Settings!$A$13:$A$16,0)))+D160</f>
        <v/>
      </c>
      <c r="G160" s="62">
        <f>G159*(1+INDEX(Settings!$J$13:$J$16,MATCH(C160,Settings!$A$13:$A$16,0)))+D160</f>
        <v/>
      </c>
    </row>
    <row r="161">
      <c r="A161" s="45" t="n">
        <v>157</v>
      </c>
      <c r="B161" s="67">
        <f>Dashboard!$C$5+(157-1)/12</f>
        <v/>
      </c>
      <c r="C161" s="27">
        <f>INDEX(Dashboard!$C$14:$C$21,MIN(8,INT((157-1)/60)+1))</f>
        <v/>
      </c>
      <c r="D161" s="62">
        <f>MIN(Dashboard!$C$9,INDEX(Settings!$B$19:$B$58,MIN(40,INT((157-1)/12)+1)))</f>
        <v/>
      </c>
      <c r="E161" s="62">
        <f>E160*(1+INDEX(Settings!$E$13:$E$16,MATCH(C161,Settings!$A$13:$A$16,0)))+D161</f>
        <v/>
      </c>
      <c r="F161" s="62">
        <f>F160*(1+INDEX(Settings!$I$13:$I$16,MATCH(C161,Settings!$A$13:$A$16,0)))+D161</f>
        <v/>
      </c>
      <c r="G161" s="62">
        <f>G160*(1+INDEX(Settings!$J$13:$J$16,MATCH(C161,Settings!$A$13:$A$16,0)))+D161</f>
        <v/>
      </c>
    </row>
    <row r="162">
      <c r="A162" s="45" t="n">
        <v>158</v>
      </c>
      <c r="B162" s="67">
        <f>Dashboard!$C$5+(158-1)/12</f>
        <v/>
      </c>
      <c r="C162" s="27">
        <f>INDEX(Dashboard!$C$14:$C$21,MIN(8,INT((158-1)/60)+1))</f>
        <v/>
      </c>
      <c r="D162" s="62">
        <f>MIN(Dashboard!$C$9,INDEX(Settings!$B$19:$B$58,MIN(40,INT((158-1)/12)+1)))</f>
        <v/>
      </c>
      <c r="E162" s="62">
        <f>E161*(1+INDEX(Settings!$E$13:$E$16,MATCH(C162,Settings!$A$13:$A$16,0)))+D162</f>
        <v/>
      </c>
      <c r="F162" s="62">
        <f>F161*(1+INDEX(Settings!$I$13:$I$16,MATCH(C162,Settings!$A$13:$A$16,0)))+D162</f>
        <v/>
      </c>
      <c r="G162" s="62">
        <f>G161*(1+INDEX(Settings!$J$13:$J$16,MATCH(C162,Settings!$A$13:$A$16,0)))+D162</f>
        <v/>
      </c>
    </row>
    <row r="163">
      <c r="A163" s="45" t="n">
        <v>159</v>
      </c>
      <c r="B163" s="67">
        <f>Dashboard!$C$5+(159-1)/12</f>
        <v/>
      </c>
      <c r="C163" s="27">
        <f>INDEX(Dashboard!$C$14:$C$21,MIN(8,INT((159-1)/60)+1))</f>
        <v/>
      </c>
      <c r="D163" s="62">
        <f>MIN(Dashboard!$C$9,INDEX(Settings!$B$19:$B$58,MIN(40,INT((159-1)/12)+1)))</f>
        <v/>
      </c>
      <c r="E163" s="62">
        <f>E162*(1+INDEX(Settings!$E$13:$E$16,MATCH(C163,Settings!$A$13:$A$16,0)))+D163</f>
        <v/>
      </c>
      <c r="F163" s="62">
        <f>F162*(1+INDEX(Settings!$I$13:$I$16,MATCH(C163,Settings!$A$13:$A$16,0)))+D163</f>
        <v/>
      </c>
      <c r="G163" s="62">
        <f>G162*(1+INDEX(Settings!$J$13:$J$16,MATCH(C163,Settings!$A$13:$A$16,0)))+D163</f>
        <v/>
      </c>
    </row>
    <row r="164">
      <c r="A164" s="45" t="n">
        <v>160</v>
      </c>
      <c r="B164" s="67">
        <f>Dashboard!$C$5+(160-1)/12</f>
        <v/>
      </c>
      <c r="C164" s="27">
        <f>INDEX(Dashboard!$C$14:$C$21,MIN(8,INT((160-1)/60)+1))</f>
        <v/>
      </c>
      <c r="D164" s="62">
        <f>MIN(Dashboard!$C$9,INDEX(Settings!$B$19:$B$58,MIN(40,INT((160-1)/12)+1)))</f>
        <v/>
      </c>
      <c r="E164" s="62">
        <f>E163*(1+INDEX(Settings!$E$13:$E$16,MATCH(C164,Settings!$A$13:$A$16,0)))+D164</f>
        <v/>
      </c>
      <c r="F164" s="62">
        <f>F163*(1+INDEX(Settings!$I$13:$I$16,MATCH(C164,Settings!$A$13:$A$16,0)))+D164</f>
        <v/>
      </c>
      <c r="G164" s="62">
        <f>G163*(1+INDEX(Settings!$J$13:$J$16,MATCH(C164,Settings!$A$13:$A$16,0)))+D164</f>
        <v/>
      </c>
    </row>
    <row r="165">
      <c r="A165" s="45" t="n">
        <v>161</v>
      </c>
      <c r="B165" s="67">
        <f>Dashboard!$C$5+(161-1)/12</f>
        <v/>
      </c>
      <c r="C165" s="27">
        <f>INDEX(Dashboard!$C$14:$C$21,MIN(8,INT((161-1)/60)+1))</f>
        <v/>
      </c>
      <c r="D165" s="62">
        <f>MIN(Dashboard!$C$9,INDEX(Settings!$B$19:$B$58,MIN(40,INT((161-1)/12)+1)))</f>
        <v/>
      </c>
      <c r="E165" s="62">
        <f>E164*(1+INDEX(Settings!$E$13:$E$16,MATCH(C165,Settings!$A$13:$A$16,0)))+D165</f>
        <v/>
      </c>
      <c r="F165" s="62">
        <f>F164*(1+INDEX(Settings!$I$13:$I$16,MATCH(C165,Settings!$A$13:$A$16,0)))+D165</f>
        <v/>
      </c>
      <c r="G165" s="62">
        <f>G164*(1+INDEX(Settings!$J$13:$J$16,MATCH(C165,Settings!$A$13:$A$16,0)))+D165</f>
        <v/>
      </c>
    </row>
    <row r="166">
      <c r="A166" s="45" t="n">
        <v>162</v>
      </c>
      <c r="B166" s="67">
        <f>Dashboard!$C$5+(162-1)/12</f>
        <v/>
      </c>
      <c r="C166" s="27">
        <f>INDEX(Dashboard!$C$14:$C$21,MIN(8,INT((162-1)/60)+1))</f>
        <v/>
      </c>
      <c r="D166" s="62">
        <f>MIN(Dashboard!$C$9,INDEX(Settings!$B$19:$B$58,MIN(40,INT((162-1)/12)+1)))</f>
        <v/>
      </c>
      <c r="E166" s="62">
        <f>E165*(1+INDEX(Settings!$E$13:$E$16,MATCH(C166,Settings!$A$13:$A$16,0)))+D166</f>
        <v/>
      </c>
      <c r="F166" s="62">
        <f>F165*(1+INDEX(Settings!$I$13:$I$16,MATCH(C166,Settings!$A$13:$A$16,0)))+D166</f>
        <v/>
      </c>
      <c r="G166" s="62">
        <f>G165*(1+INDEX(Settings!$J$13:$J$16,MATCH(C166,Settings!$A$13:$A$16,0)))+D166</f>
        <v/>
      </c>
    </row>
    <row r="167">
      <c r="A167" s="45" t="n">
        <v>163</v>
      </c>
      <c r="B167" s="67">
        <f>Dashboard!$C$5+(163-1)/12</f>
        <v/>
      </c>
      <c r="C167" s="27">
        <f>INDEX(Dashboard!$C$14:$C$21,MIN(8,INT((163-1)/60)+1))</f>
        <v/>
      </c>
      <c r="D167" s="62">
        <f>MIN(Dashboard!$C$9,INDEX(Settings!$B$19:$B$58,MIN(40,INT((163-1)/12)+1)))</f>
        <v/>
      </c>
      <c r="E167" s="62">
        <f>E166*(1+INDEX(Settings!$E$13:$E$16,MATCH(C167,Settings!$A$13:$A$16,0)))+D167</f>
        <v/>
      </c>
      <c r="F167" s="62">
        <f>F166*(1+INDEX(Settings!$I$13:$I$16,MATCH(C167,Settings!$A$13:$A$16,0)))+D167</f>
        <v/>
      </c>
      <c r="G167" s="62">
        <f>G166*(1+INDEX(Settings!$J$13:$J$16,MATCH(C167,Settings!$A$13:$A$16,0)))+D167</f>
        <v/>
      </c>
    </row>
    <row r="168">
      <c r="A168" s="45" t="n">
        <v>164</v>
      </c>
      <c r="B168" s="67">
        <f>Dashboard!$C$5+(164-1)/12</f>
        <v/>
      </c>
      <c r="C168" s="27">
        <f>INDEX(Dashboard!$C$14:$C$21,MIN(8,INT((164-1)/60)+1))</f>
        <v/>
      </c>
      <c r="D168" s="62">
        <f>MIN(Dashboard!$C$9,INDEX(Settings!$B$19:$B$58,MIN(40,INT((164-1)/12)+1)))</f>
        <v/>
      </c>
      <c r="E168" s="62">
        <f>E167*(1+INDEX(Settings!$E$13:$E$16,MATCH(C168,Settings!$A$13:$A$16,0)))+D168</f>
        <v/>
      </c>
      <c r="F168" s="62">
        <f>F167*(1+INDEX(Settings!$I$13:$I$16,MATCH(C168,Settings!$A$13:$A$16,0)))+D168</f>
        <v/>
      </c>
      <c r="G168" s="62">
        <f>G167*(1+INDEX(Settings!$J$13:$J$16,MATCH(C168,Settings!$A$13:$A$16,0)))+D168</f>
        <v/>
      </c>
    </row>
    <row r="169">
      <c r="A169" s="45" t="n">
        <v>165</v>
      </c>
      <c r="B169" s="67">
        <f>Dashboard!$C$5+(165-1)/12</f>
        <v/>
      </c>
      <c r="C169" s="27">
        <f>INDEX(Dashboard!$C$14:$C$21,MIN(8,INT((165-1)/60)+1))</f>
        <v/>
      </c>
      <c r="D169" s="62">
        <f>MIN(Dashboard!$C$9,INDEX(Settings!$B$19:$B$58,MIN(40,INT((165-1)/12)+1)))</f>
        <v/>
      </c>
      <c r="E169" s="62">
        <f>E168*(1+INDEX(Settings!$E$13:$E$16,MATCH(C169,Settings!$A$13:$A$16,0)))+D169</f>
        <v/>
      </c>
      <c r="F169" s="62">
        <f>F168*(1+INDEX(Settings!$I$13:$I$16,MATCH(C169,Settings!$A$13:$A$16,0)))+D169</f>
        <v/>
      </c>
      <c r="G169" s="62">
        <f>G168*(1+INDEX(Settings!$J$13:$J$16,MATCH(C169,Settings!$A$13:$A$16,0)))+D169</f>
        <v/>
      </c>
    </row>
    <row r="170">
      <c r="A170" s="45" t="n">
        <v>166</v>
      </c>
      <c r="B170" s="67">
        <f>Dashboard!$C$5+(166-1)/12</f>
        <v/>
      </c>
      <c r="C170" s="27">
        <f>INDEX(Dashboard!$C$14:$C$21,MIN(8,INT((166-1)/60)+1))</f>
        <v/>
      </c>
      <c r="D170" s="62">
        <f>MIN(Dashboard!$C$9,INDEX(Settings!$B$19:$B$58,MIN(40,INT((166-1)/12)+1)))</f>
        <v/>
      </c>
      <c r="E170" s="62">
        <f>E169*(1+INDEX(Settings!$E$13:$E$16,MATCH(C170,Settings!$A$13:$A$16,0)))+D170</f>
        <v/>
      </c>
      <c r="F170" s="62">
        <f>F169*(1+INDEX(Settings!$I$13:$I$16,MATCH(C170,Settings!$A$13:$A$16,0)))+D170</f>
        <v/>
      </c>
      <c r="G170" s="62">
        <f>G169*(1+INDEX(Settings!$J$13:$J$16,MATCH(C170,Settings!$A$13:$A$16,0)))+D170</f>
        <v/>
      </c>
    </row>
    <row r="171">
      <c r="A171" s="45" t="n">
        <v>167</v>
      </c>
      <c r="B171" s="67">
        <f>Dashboard!$C$5+(167-1)/12</f>
        <v/>
      </c>
      <c r="C171" s="27">
        <f>INDEX(Dashboard!$C$14:$C$21,MIN(8,INT((167-1)/60)+1))</f>
        <v/>
      </c>
      <c r="D171" s="62">
        <f>MIN(Dashboard!$C$9,INDEX(Settings!$B$19:$B$58,MIN(40,INT((167-1)/12)+1)))</f>
        <v/>
      </c>
      <c r="E171" s="62">
        <f>E170*(1+INDEX(Settings!$E$13:$E$16,MATCH(C171,Settings!$A$13:$A$16,0)))+D171</f>
        <v/>
      </c>
      <c r="F171" s="62">
        <f>F170*(1+INDEX(Settings!$I$13:$I$16,MATCH(C171,Settings!$A$13:$A$16,0)))+D171</f>
        <v/>
      </c>
      <c r="G171" s="62">
        <f>G170*(1+INDEX(Settings!$J$13:$J$16,MATCH(C171,Settings!$A$13:$A$16,0)))+D171</f>
        <v/>
      </c>
    </row>
    <row r="172">
      <c r="A172" s="45" t="n">
        <v>168</v>
      </c>
      <c r="B172" s="67">
        <f>Dashboard!$C$5+(168-1)/12</f>
        <v/>
      </c>
      <c r="C172" s="27">
        <f>INDEX(Dashboard!$C$14:$C$21,MIN(8,INT((168-1)/60)+1))</f>
        <v/>
      </c>
      <c r="D172" s="62">
        <f>MIN(Dashboard!$C$9,INDEX(Settings!$B$19:$B$58,MIN(40,INT((168-1)/12)+1)))</f>
        <v/>
      </c>
      <c r="E172" s="62">
        <f>E171*(1+INDEX(Settings!$E$13:$E$16,MATCH(C172,Settings!$A$13:$A$16,0)))+D172</f>
        <v/>
      </c>
      <c r="F172" s="62">
        <f>F171*(1+INDEX(Settings!$I$13:$I$16,MATCH(C172,Settings!$A$13:$A$16,0)))+D172</f>
        <v/>
      </c>
      <c r="G172" s="62">
        <f>G171*(1+INDEX(Settings!$J$13:$J$16,MATCH(C172,Settings!$A$13:$A$16,0)))+D172</f>
        <v/>
      </c>
    </row>
    <row r="173">
      <c r="A173" s="45" t="n">
        <v>169</v>
      </c>
      <c r="B173" s="67">
        <f>Dashboard!$C$5+(169-1)/12</f>
        <v/>
      </c>
      <c r="C173" s="27">
        <f>INDEX(Dashboard!$C$14:$C$21,MIN(8,INT((169-1)/60)+1))</f>
        <v/>
      </c>
      <c r="D173" s="62">
        <f>MIN(Dashboard!$C$9,INDEX(Settings!$B$19:$B$58,MIN(40,INT((169-1)/12)+1)))</f>
        <v/>
      </c>
      <c r="E173" s="62">
        <f>E172*(1+INDEX(Settings!$E$13:$E$16,MATCH(C173,Settings!$A$13:$A$16,0)))+D173</f>
        <v/>
      </c>
      <c r="F173" s="62">
        <f>F172*(1+INDEX(Settings!$I$13:$I$16,MATCH(C173,Settings!$A$13:$A$16,0)))+D173</f>
        <v/>
      </c>
      <c r="G173" s="62">
        <f>G172*(1+INDEX(Settings!$J$13:$J$16,MATCH(C173,Settings!$A$13:$A$16,0)))+D173</f>
        <v/>
      </c>
    </row>
    <row r="174">
      <c r="A174" s="45" t="n">
        <v>170</v>
      </c>
      <c r="B174" s="67">
        <f>Dashboard!$C$5+(170-1)/12</f>
        <v/>
      </c>
      <c r="C174" s="27">
        <f>INDEX(Dashboard!$C$14:$C$21,MIN(8,INT((170-1)/60)+1))</f>
        <v/>
      </c>
      <c r="D174" s="62">
        <f>MIN(Dashboard!$C$9,INDEX(Settings!$B$19:$B$58,MIN(40,INT((170-1)/12)+1)))</f>
        <v/>
      </c>
      <c r="E174" s="62">
        <f>E173*(1+INDEX(Settings!$E$13:$E$16,MATCH(C174,Settings!$A$13:$A$16,0)))+D174</f>
        <v/>
      </c>
      <c r="F174" s="62">
        <f>F173*(1+INDEX(Settings!$I$13:$I$16,MATCH(C174,Settings!$A$13:$A$16,0)))+D174</f>
        <v/>
      </c>
      <c r="G174" s="62">
        <f>G173*(1+INDEX(Settings!$J$13:$J$16,MATCH(C174,Settings!$A$13:$A$16,0)))+D174</f>
        <v/>
      </c>
    </row>
    <row r="175">
      <c r="A175" s="45" t="n">
        <v>171</v>
      </c>
      <c r="B175" s="67">
        <f>Dashboard!$C$5+(171-1)/12</f>
        <v/>
      </c>
      <c r="C175" s="27">
        <f>INDEX(Dashboard!$C$14:$C$21,MIN(8,INT((171-1)/60)+1))</f>
        <v/>
      </c>
      <c r="D175" s="62">
        <f>MIN(Dashboard!$C$9,INDEX(Settings!$B$19:$B$58,MIN(40,INT((171-1)/12)+1)))</f>
        <v/>
      </c>
      <c r="E175" s="62">
        <f>E174*(1+INDEX(Settings!$E$13:$E$16,MATCH(C175,Settings!$A$13:$A$16,0)))+D175</f>
        <v/>
      </c>
      <c r="F175" s="62">
        <f>F174*(1+INDEX(Settings!$I$13:$I$16,MATCH(C175,Settings!$A$13:$A$16,0)))+D175</f>
        <v/>
      </c>
      <c r="G175" s="62">
        <f>G174*(1+INDEX(Settings!$J$13:$J$16,MATCH(C175,Settings!$A$13:$A$16,0)))+D175</f>
        <v/>
      </c>
    </row>
    <row r="176">
      <c r="A176" s="45" t="n">
        <v>172</v>
      </c>
      <c r="B176" s="67">
        <f>Dashboard!$C$5+(172-1)/12</f>
        <v/>
      </c>
      <c r="C176" s="27">
        <f>INDEX(Dashboard!$C$14:$C$21,MIN(8,INT((172-1)/60)+1))</f>
        <v/>
      </c>
      <c r="D176" s="62">
        <f>MIN(Dashboard!$C$9,INDEX(Settings!$B$19:$B$58,MIN(40,INT((172-1)/12)+1)))</f>
        <v/>
      </c>
      <c r="E176" s="62">
        <f>E175*(1+INDEX(Settings!$E$13:$E$16,MATCH(C176,Settings!$A$13:$A$16,0)))+D176</f>
        <v/>
      </c>
      <c r="F176" s="62">
        <f>F175*(1+INDEX(Settings!$I$13:$I$16,MATCH(C176,Settings!$A$13:$A$16,0)))+D176</f>
        <v/>
      </c>
      <c r="G176" s="62">
        <f>G175*(1+INDEX(Settings!$J$13:$J$16,MATCH(C176,Settings!$A$13:$A$16,0)))+D176</f>
        <v/>
      </c>
    </row>
    <row r="177">
      <c r="A177" s="45" t="n">
        <v>173</v>
      </c>
      <c r="B177" s="67">
        <f>Dashboard!$C$5+(173-1)/12</f>
        <v/>
      </c>
      <c r="C177" s="27">
        <f>INDEX(Dashboard!$C$14:$C$21,MIN(8,INT((173-1)/60)+1))</f>
        <v/>
      </c>
      <c r="D177" s="62">
        <f>MIN(Dashboard!$C$9,INDEX(Settings!$B$19:$B$58,MIN(40,INT((173-1)/12)+1)))</f>
        <v/>
      </c>
      <c r="E177" s="62">
        <f>E176*(1+INDEX(Settings!$E$13:$E$16,MATCH(C177,Settings!$A$13:$A$16,0)))+D177</f>
        <v/>
      </c>
      <c r="F177" s="62">
        <f>F176*(1+INDEX(Settings!$I$13:$I$16,MATCH(C177,Settings!$A$13:$A$16,0)))+D177</f>
        <v/>
      </c>
      <c r="G177" s="62">
        <f>G176*(1+INDEX(Settings!$J$13:$J$16,MATCH(C177,Settings!$A$13:$A$16,0)))+D177</f>
        <v/>
      </c>
    </row>
    <row r="178">
      <c r="A178" s="45" t="n">
        <v>174</v>
      </c>
      <c r="B178" s="67">
        <f>Dashboard!$C$5+(174-1)/12</f>
        <v/>
      </c>
      <c r="C178" s="27">
        <f>INDEX(Dashboard!$C$14:$C$21,MIN(8,INT((174-1)/60)+1))</f>
        <v/>
      </c>
      <c r="D178" s="62">
        <f>MIN(Dashboard!$C$9,INDEX(Settings!$B$19:$B$58,MIN(40,INT((174-1)/12)+1)))</f>
        <v/>
      </c>
      <c r="E178" s="62">
        <f>E177*(1+INDEX(Settings!$E$13:$E$16,MATCH(C178,Settings!$A$13:$A$16,0)))+D178</f>
        <v/>
      </c>
      <c r="F178" s="62">
        <f>F177*(1+INDEX(Settings!$I$13:$I$16,MATCH(C178,Settings!$A$13:$A$16,0)))+D178</f>
        <v/>
      </c>
      <c r="G178" s="62">
        <f>G177*(1+INDEX(Settings!$J$13:$J$16,MATCH(C178,Settings!$A$13:$A$16,0)))+D178</f>
        <v/>
      </c>
    </row>
    <row r="179">
      <c r="A179" s="45" t="n">
        <v>175</v>
      </c>
      <c r="B179" s="67">
        <f>Dashboard!$C$5+(175-1)/12</f>
        <v/>
      </c>
      <c r="C179" s="27">
        <f>INDEX(Dashboard!$C$14:$C$21,MIN(8,INT((175-1)/60)+1))</f>
        <v/>
      </c>
      <c r="D179" s="62">
        <f>MIN(Dashboard!$C$9,INDEX(Settings!$B$19:$B$58,MIN(40,INT((175-1)/12)+1)))</f>
        <v/>
      </c>
      <c r="E179" s="62">
        <f>E178*(1+INDEX(Settings!$E$13:$E$16,MATCH(C179,Settings!$A$13:$A$16,0)))+D179</f>
        <v/>
      </c>
      <c r="F179" s="62">
        <f>F178*(1+INDEX(Settings!$I$13:$I$16,MATCH(C179,Settings!$A$13:$A$16,0)))+D179</f>
        <v/>
      </c>
      <c r="G179" s="62">
        <f>G178*(1+INDEX(Settings!$J$13:$J$16,MATCH(C179,Settings!$A$13:$A$16,0)))+D179</f>
        <v/>
      </c>
    </row>
    <row r="180">
      <c r="A180" s="45" t="n">
        <v>176</v>
      </c>
      <c r="B180" s="67">
        <f>Dashboard!$C$5+(176-1)/12</f>
        <v/>
      </c>
      <c r="C180" s="27">
        <f>INDEX(Dashboard!$C$14:$C$21,MIN(8,INT((176-1)/60)+1))</f>
        <v/>
      </c>
      <c r="D180" s="62">
        <f>MIN(Dashboard!$C$9,INDEX(Settings!$B$19:$B$58,MIN(40,INT((176-1)/12)+1)))</f>
        <v/>
      </c>
      <c r="E180" s="62">
        <f>E179*(1+INDEX(Settings!$E$13:$E$16,MATCH(C180,Settings!$A$13:$A$16,0)))+D180</f>
        <v/>
      </c>
      <c r="F180" s="62">
        <f>F179*(1+INDEX(Settings!$I$13:$I$16,MATCH(C180,Settings!$A$13:$A$16,0)))+D180</f>
        <v/>
      </c>
      <c r="G180" s="62">
        <f>G179*(1+INDEX(Settings!$J$13:$J$16,MATCH(C180,Settings!$A$13:$A$16,0)))+D180</f>
        <v/>
      </c>
    </row>
    <row r="181">
      <c r="A181" s="45" t="n">
        <v>177</v>
      </c>
      <c r="B181" s="67">
        <f>Dashboard!$C$5+(177-1)/12</f>
        <v/>
      </c>
      <c r="C181" s="27">
        <f>INDEX(Dashboard!$C$14:$C$21,MIN(8,INT((177-1)/60)+1))</f>
        <v/>
      </c>
      <c r="D181" s="62">
        <f>MIN(Dashboard!$C$9,INDEX(Settings!$B$19:$B$58,MIN(40,INT((177-1)/12)+1)))</f>
        <v/>
      </c>
      <c r="E181" s="62">
        <f>E180*(1+INDEX(Settings!$E$13:$E$16,MATCH(C181,Settings!$A$13:$A$16,0)))+D181</f>
        <v/>
      </c>
      <c r="F181" s="62">
        <f>F180*(1+INDEX(Settings!$I$13:$I$16,MATCH(C181,Settings!$A$13:$A$16,0)))+D181</f>
        <v/>
      </c>
      <c r="G181" s="62">
        <f>G180*(1+INDEX(Settings!$J$13:$J$16,MATCH(C181,Settings!$A$13:$A$16,0)))+D181</f>
        <v/>
      </c>
    </row>
    <row r="182">
      <c r="A182" s="45" t="n">
        <v>178</v>
      </c>
      <c r="B182" s="67">
        <f>Dashboard!$C$5+(178-1)/12</f>
        <v/>
      </c>
      <c r="C182" s="27">
        <f>INDEX(Dashboard!$C$14:$C$21,MIN(8,INT((178-1)/60)+1))</f>
        <v/>
      </c>
      <c r="D182" s="62">
        <f>MIN(Dashboard!$C$9,INDEX(Settings!$B$19:$B$58,MIN(40,INT((178-1)/12)+1)))</f>
        <v/>
      </c>
      <c r="E182" s="62">
        <f>E181*(1+INDEX(Settings!$E$13:$E$16,MATCH(C182,Settings!$A$13:$A$16,0)))+D182</f>
        <v/>
      </c>
      <c r="F182" s="62">
        <f>F181*(1+INDEX(Settings!$I$13:$I$16,MATCH(C182,Settings!$A$13:$A$16,0)))+D182</f>
        <v/>
      </c>
      <c r="G182" s="62">
        <f>G181*(1+INDEX(Settings!$J$13:$J$16,MATCH(C182,Settings!$A$13:$A$16,0)))+D182</f>
        <v/>
      </c>
    </row>
    <row r="183">
      <c r="A183" s="45" t="n">
        <v>179</v>
      </c>
      <c r="B183" s="67">
        <f>Dashboard!$C$5+(179-1)/12</f>
        <v/>
      </c>
      <c r="C183" s="27">
        <f>INDEX(Dashboard!$C$14:$C$21,MIN(8,INT((179-1)/60)+1))</f>
        <v/>
      </c>
      <c r="D183" s="62">
        <f>MIN(Dashboard!$C$9,INDEX(Settings!$B$19:$B$58,MIN(40,INT((179-1)/12)+1)))</f>
        <v/>
      </c>
      <c r="E183" s="62">
        <f>E182*(1+INDEX(Settings!$E$13:$E$16,MATCH(C183,Settings!$A$13:$A$16,0)))+D183</f>
        <v/>
      </c>
      <c r="F183" s="62">
        <f>F182*(1+INDEX(Settings!$I$13:$I$16,MATCH(C183,Settings!$A$13:$A$16,0)))+D183</f>
        <v/>
      </c>
      <c r="G183" s="62">
        <f>G182*(1+INDEX(Settings!$J$13:$J$16,MATCH(C183,Settings!$A$13:$A$16,0)))+D183</f>
        <v/>
      </c>
    </row>
    <row r="184">
      <c r="A184" s="45" t="n">
        <v>180</v>
      </c>
      <c r="B184" s="67">
        <f>Dashboard!$C$5+(180-1)/12</f>
        <v/>
      </c>
      <c r="C184" s="27">
        <f>INDEX(Dashboard!$C$14:$C$21,MIN(8,INT((180-1)/60)+1))</f>
        <v/>
      </c>
      <c r="D184" s="62">
        <f>MIN(Dashboard!$C$9,INDEX(Settings!$B$19:$B$58,MIN(40,INT((180-1)/12)+1)))</f>
        <v/>
      </c>
      <c r="E184" s="62">
        <f>E183*(1+INDEX(Settings!$E$13:$E$16,MATCH(C184,Settings!$A$13:$A$16,0)))+D184</f>
        <v/>
      </c>
      <c r="F184" s="62">
        <f>F183*(1+INDEX(Settings!$I$13:$I$16,MATCH(C184,Settings!$A$13:$A$16,0)))+D184</f>
        <v/>
      </c>
      <c r="G184" s="62">
        <f>G183*(1+INDEX(Settings!$J$13:$J$16,MATCH(C184,Settings!$A$13:$A$16,0)))+D184</f>
        <v/>
      </c>
    </row>
    <row r="185">
      <c r="A185" s="45" t="n">
        <v>181</v>
      </c>
      <c r="B185" s="67">
        <f>Dashboard!$C$5+(181-1)/12</f>
        <v/>
      </c>
      <c r="C185" s="27">
        <f>INDEX(Dashboard!$C$14:$C$21,MIN(8,INT((181-1)/60)+1))</f>
        <v/>
      </c>
      <c r="D185" s="62">
        <f>MIN(Dashboard!$C$9,INDEX(Settings!$B$19:$B$58,MIN(40,INT((181-1)/12)+1)))</f>
        <v/>
      </c>
      <c r="E185" s="62">
        <f>E184*(1+INDEX(Settings!$E$13:$E$16,MATCH(C185,Settings!$A$13:$A$16,0)))+D185</f>
        <v/>
      </c>
      <c r="F185" s="62">
        <f>F184*(1+INDEX(Settings!$I$13:$I$16,MATCH(C185,Settings!$A$13:$A$16,0)))+D185</f>
        <v/>
      </c>
      <c r="G185" s="62">
        <f>G184*(1+INDEX(Settings!$J$13:$J$16,MATCH(C185,Settings!$A$13:$A$16,0)))+D185</f>
        <v/>
      </c>
    </row>
    <row r="186">
      <c r="A186" s="45" t="n">
        <v>182</v>
      </c>
      <c r="B186" s="67">
        <f>Dashboard!$C$5+(182-1)/12</f>
        <v/>
      </c>
      <c r="C186" s="27">
        <f>INDEX(Dashboard!$C$14:$C$21,MIN(8,INT((182-1)/60)+1))</f>
        <v/>
      </c>
      <c r="D186" s="62">
        <f>MIN(Dashboard!$C$9,INDEX(Settings!$B$19:$B$58,MIN(40,INT((182-1)/12)+1)))</f>
        <v/>
      </c>
      <c r="E186" s="62">
        <f>E185*(1+INDEX(Settings!$E$13:$E$16,MATCH(C186,Settings!$A$13:$A$16,0)))+D186</f>
        <v/>
      </c>
      <c r="F186" s="62">
        <f>F185*(1+INDEX(Settings!$I$13:$I$16,MATCH(C186,Settings!$A$13:$A$16,0)))+D186</f>
        <v/>
      </c>
      <c r="G186" s="62">
        <f>G185*(1+INDEX(Settings!$J$13:$J$16,MATCH(C186,Settings!$A$13:$A$16,0)))+D186</f>
        <v/>
      </c>
    </row>
    <row r="187">
      <c r="A187" s="45" t="n">
        <v>183</v>
      </c>
      <c r="B187" s="67">
        <f>Dashboard!$C$5+(183-1)/12</f>
        <v/>
      </c>
      <c r="C187" s="27">
        <f>INDEX(Dashboard!$C$14:$C$21,MIN(8,INT((183-1)/60)+1))</f>
        <v/>
      </c>
      <c r="D187" s="62">
        <f>MIN(Dashboard!$C$9,INDEX(Settings!$B$19:$B$58,MIN(40,INT((183-1)/12)+1)))</f>
        <v/>
      </c>
      <c r="E187" s="62">
        <f>E186*(1+INDEX(Settings!$E$13:$E$16,MATCH(C187,Settings!$A$13:$A$16,0)))+D187</f>
        <v/>
      </c>
      <c r="F187" s="62">
        <f>F186*(1+INDEX(Settings!$I$13:$I$16,MATCH(C187,Settings!$A$13:$A$16,0)))+D187</f>
        <v/>
      </c>
      <c r="G187" s="62">
        <f>G186*(1+INDEX(Settings!$J$13:$J$16,MATCH(C187,Settings!$A$13:$A$16,0)))+D187</f>
        <v/>
      </c>
    </row>
    <row r="188">
      <c r="A188" s="45" t="n">
        <v>184</v>
      </c>
      <c r="B188" s="67">
        <f>Dashboard!$C$5+(184-1)/12</f>
        <v/>
      </c>
      <c r="C188" s="27">
        <f>INDEX(Dashboard!$C$14:$C$21,MIN(8,INT((184-1)/60)+1))</f>
        <v/>
      </c>
      <c r="D188" s="62">
        <f>MIN(Dashboard!$C$9,INDEX(Settings!$B$19:$B$58,MIN(40,INT((184-1)/12)+1)))</f>
        <v/>
      </c>
      <c r="E188" s="62">
        <f>E187*(1+INDEX(Settings!$E$13:$E$16,MATCH(C188,Settings!$A$13:$A$16,0)))+D188</f>
        <v/>
      </c>
      <c r="F188" s="62">
        <f>F187*(1+INDEX(Settings!$I$13:$I$16,MATCH(C188,Settings!$A$13:$A$16,0)))+D188</f>
        <v/>
      </c>
      <c r="G188" s="62">
        <f>G187*(1+INDEX(Settings!$J$13:$J$16,MATCH(C188,Settings!$A$13:$A$16,0)))+D188</f>
        <v/>
      </c>
    </row>
    <row r="189">
      <c r="A189" s="45" t="n">
        <v>185</v>
      </c>
      <c r="B189" s="67">
        <f>Dashboard!$C$5+(185-1)/12</f>
        <v/>
      </c>
      <c r="C189" s="27">
        <f>INDEX(Dashboard!$C$14:$C$21,MIN(8,INT((185-1)/60)+1))</f>
        <v/>
      </c>
      <c r="D189" s="62">
        <f>MIN(Dashboard!$C$9,INDEX(Settings!$B$19:$B$58,MIN(40,INT((185-1)/12)+1)))</f>
        <v/>
      </c>
      <c r="E189" s="62">
        <f>E188*(1+INDEX(Settings!$E$13:$E$16,MATCH(C189,Settings!$A$13:$A$16,0)))+D189</f>
        <v/>
      </c>
      <c r="F189" s="62">
        <f>F188*(1+INDEX(Settings!$I$13:$I$16,MATCH(C189,Settings!$A$13:$A$16,0)))+D189</f>
        <v/>
      </c>
      <c r="G189" s="62">
        <f>G188*(1+INDEX(Settings!$J$13:$J$16,MATCH(C189,Settings!$A$13:$A$16,0)))+D189</f>
        <v/>
      </c>
    </row>
    <row r="190">
      <c r="A190" s="45" t="n">
        <v>186</v>
      </c>
      <c r="B190" s="67">
        <f>Dashboard!$C$5+(186-1)/12</f>
        <v/>
      </c>
      <c r="C190" s="27">
        <f>INDEX(Dashboard!$C$14:$C$21,MIN(8,INT((186-1)/60)+1))</f>
        <v/>
      </c>
      <c r="D190" s="62">
        <f>MIN(Dashboard!$C$9,INDEX(Settings!$B$19:$B$58,MIN(40,INT((186-1)/12)+1)))</f>
        <v/>
      </c>
      <c r="E190" s="62">
        <f>E189*(1+INDEX(Settings!$E$13:$E$16,MATCH(C190,Settings!$A$13:$A$16,0)))+D190</f>
        <v/>
      </c>
      <c r="F190" s="62">
        <f>F189*(1+INDEX(Settings!$I$13:$I$16,MATCH(C190,Settings!$A$13:$A$16,0)))+D190</f>
        <v/>
      </c>
      <c r="G190" s="62">
        <f>G189*(1+INDEX(Settings!$J$13:$J$16,MATCH(C190,Settings!$A$13:$A$16,0)))+D190</f>
        <v/>
      </c>
    </row>
    <row r="191">
      <c r="A191" s="45" t="n">
        <v>187</v>
      </c>
      <c r="B191" s="67">
        <f>Dashboard!$C$5+(187-1)/12</f>
        <v/>
      </c>
      <c r="C191" s="27">
        <f>INDEX(Dashboard!$C$14:$C$21,MIN(8,INT((187-1)/60)+1))</f>
        <v/>
      </c>
      <c r="D191" s="62">
        <f>MIN(Dashboard!$C$9,INDEX(Settings!$B$19:$B$58,MIN(40,INT((187-1)/12)+1)))</f>
        <v/>
      </c>
      <c r="E191" s="62">
        <f>E190*(1+INDEX(Settings!$E$13:$E$16,MATCH(C191,Settings!$A$13:$A$16,0)))+D191</f>
        <v/>
      </c>
      <c r="F191" s="62">
        <f>F190*(1+INDEX(Settings!$I$13:$I$16,MATCH(C191,Settings!$A$13:$A$16,0)))+D191</f>
        <v/>
      </c>
      <c r="G191" s="62">
        <f>G190*(1+INDEX(Settings!$J$13:$J$16,MATCH(C191,Settings!$A$13:$A$16,0)))+D191</f>
        <v/>
      </c>
    </row>
    <row r="192">
      <c r="A192" s="45" t="n">
        <v>188</v>
      </c>
      <c r="B192" s="67">
        <f>Dashboard!$C$5+(188-1)/12</f>
        <v/>
      </c>
      <c r="C192" s="27">
        <f>INDEX(Dashboard!$C$14:$C$21,MIN(8,INT((188-1)/60)+1))</f>
        <v/>
      </c>
      <c r="D192" s="62">
        <f>MIN(Dashboard!$C$9,INDEX(Settings!$B$19:$B$58,MIN(40,INT((188-1)/12)+1)))</f>
        <v/>
      </c>
      <c r="E192" s="62">
        <f>E191*(1+INDEX(Settings!$E$13:$E$16,MATCH(C192,Settings!$A$13:$A$16,0)))+D192</f>
        <v/>
      </c>
      <c r="F192" s="62">
        <f>F191*(1+INDEX(Settings!$I$13:$I$16,MATCH(C192,Settings!$A$13:$A$16,0)))+D192</f>
        <v/>
      </c>
      <c r="G192" s="62">
        <f>G191*(1+INDEX(Settings!$J$13:$J$16,MATCH(C192,Settings!$A$13:$A$16,0)))+D192</f>
        <v/>
      </c>
    </row>
    <row r="193">
      <c r="A193" s="45" t="n">
        <v>189</v>
      </c>
      <c r="B193" s="67">
        <f>Dashboard!$C$5+(189-1)/12</f>
        <v/>
      </c>
      <c r="C193" s="27">
        <f>INDEX(Dashboard!$C$14:$C$21,MIN(8,INT((189-1)/60)+1))</f>
        <v/>
      </c>
      <c r="D193" s="62">
        <f>MIN(Dashboard!$C$9,INDEX(Settings!$B$19:$B$58,MIN(40,INT((189-1)/12)+1)))</f>
        <v/>
      </c>
      <c r="E193" s="62">
        <f>E192*(1+INDEX(Settings!$E$13:$E$16,MATCH(C193,Settings!$A$13:$A$16,0)))+D193</f>
        <v/>
      </c>
      <c r="F193" s="62">
        <f>F192*(1+INDEX(Settings!$I$13:$I$16,MATCH(C193,Settings!$A$13:$A$16,0)))+D193</f>
        <v/>
      </c>
      <c r="G193" s="62">
        <f>G192*(1+INDEX(Settings!$J$13:$J$16,MATCH(C193,Settings!$A$13:$A$16,0)))+D193</f>
        <v/>
      </c>
    </row>
    <row r="194">
      <c r="A194" s="45" t="n">
        <v>190</v>
      </c>
      <c r="B194" s="67">
        <f>Dashboard!$C$5+(190-1)/12</f>
        <v/>
      </c>
      <c r="C194" s="27">
        <f>INDEX(Dashboard!$C$14:$C$21,MIN(8,INT((190-1)/60)+1))</f>
        <v/>
      </c>
      <c r="D194" s="62">
        <f>MIN(Dashboard!$C$9,INDEX(Settings!$B$19:$B$58,MIN(40,INT((190-1)/12)+1)))</f>
        <v/>
      </c>
      <c r="E194" s="62">
        <f>E193*(1+INDEX(Settings!$E$13:$E$16,MATCH(C194,Settings!$A$13:$A$16,0)))+D194</f>
        <v/>
      </c>
      <c r="F194" s="62">
        <f>F193*(1+INDEX(Settings!$I$13:$I$16,MATCH(C194,Settings!$A$13:$A$16,0)))+D194</f>
        <v/>
      </c>
      <c r="G194" s="62">
        <f>G193*(1+INDEX(Settings!$J$13:$J$16,MATCH(C194,Settings!$A$13:$A$16,0)))+D194</f>
        <v/>
      </c>
    </row>
    <row r="195">
      <c r="A195" s="45" t="n">
        <v>191</v>
      </c>
      <c r="B195" s="67">
        <f>Dashboard!$C$5+(191-1)/12</f>
        <v/>
      </c>
      <c r="C195" s="27">
        <f>INDEX(Dashboard!$C$14:$C$21,MIN(8,INT((191-1)/60)+1))</f>
        <v/>
      </c>
      <c r="D195" s="62">
        <f>MIN(Dashboard!$C$9,INDEX(Settings!$B$19:$B$58,MIN(40,INT((191-1)/12)+1)))</f>
        <v/>
      </c>
      <c r="E195" s="62">
        <f>E194*(1+INDEX(Settings!$E$13:$E$16,MATCH(C195,Settings!$A$13:$A$16,0)))+D195</f>
        <v/>
      </c>
      <c r="F195" s="62">
        <f>F194*(1+INDEX(Settings!$I$13:$I$16,MATCH(C195,Settings!$A$13:$A$16,0)))+D195</f>
        <v/>
      </c>
      <c r="G195" s="62">
        <f>G194*(1+INDEX(Settings!$J$13:$J$16,MATCH(C195,Settings!$A$13:$A$16,0)))+D195</f>
        <v/>
      </c>
    </row>
    <row r="196">
      <c r="A196" s="45" t="n">
        <v>192</v>
      </c>
      <c r="B196" s="67">
        <f>Dashboard!$C$5+(192-1)/12</f>
        <v/>
      </c>
      <c r="C196" s="27">
        <f>INDEX(Dashboard!$C$14:$C$21,MIN(8,INT((192-1)/60)+1))</f>
        <v/>
      </c>
      <c r="D196" s="62">
        <f>MIN(Dashboard!$C$9,INDEX(Settings!$B$19:$B$58,MIN(40,INT((192-1)/12)+1)))</f>
        <v/>
      </c>
      <c r="E196" s="62">
        <f>E195*(1+INDEX(Settings!$E$13:$E$16,MATCH(C196,Settings!$A$13:$A$16,0)))+D196</f>
        <v/>
      </c>
      <c r="F196" s="62">
        <f>F195*(1+INDEX(Settings!$I$13:$I$16,MATCH(C196,Settings!$A$13:$A$16,0)))+D196</f>
        <v/>
      </c>
      <c r="G196" s="62">
        <f>G195*(1+INDEX(Settings!$J$13:$J$16,MATCH(C196,Settings!$A$13:$A$16,0)))+D196</f>
        <v/>
      </c>
    </row>
    <row r="197">
      <c r="A197" s="45" t="n">
        <v>193</v>
      </c>
      <c r="B197" s="67">
        <f>Dashboard!$C$5+(193-1)/12</f>
        <v/>
      </c>
      <c r="C197" s="27">
        <f>INDEX(Dashboard!$C$14:$C$21,MIN(8,INT((193-1)/60)+1))</f>
        <v/>
      </c>
      <c r="D197" s="62">
        <f>MIN(Dashboard!$C$9,INDEX(Settings!$B$19:$B$58,MIN(40,INT((193-1)/12)+1)))</f>
        <v/>
      </c>
      <c r="E197" s="62">
        <f>E196*(1+INDEX(Settings!$E$13:$E$16,MATCH(C197,Settings!$A$13:$A$16,0)))+D197</f>
        <v/>
      </c>
      <c r="F197" s="62">
        <f>F196*(1+INDEX(Settings!$I$13:$I$16,MATCH(C197,Settings!$A$13:$A$16,0)))+D197</f>
        <v/>
      </c>
      <c r="G197" s="62">
        <f>G196*(1+INDEX(Settings!$J$13:$J$16,MATCH(C197,Settings!$A$13:$A$16,0)))+D197</f>
        <v/>
      </c>
    </row>
    <row r="198">
      <c r="A198" s="45" t="n">
        <v>194</v>
      </c>
      <c r="B198" s="67">
        <f>Dashboard!$C$5+(194-1)/12</f>
        <v/>
      </c>
      <c r="C198" s="27">
        <f>INDEX(Dashboard!$C$14:$C$21,MIN(8,INT((194-1)/60)+1))</f>
        <v/>
      </c>
      <c r="D198" s="62">
        <f>MIN(Dashboard!$C$9,INDEX(Settings!$B$19:$B$58,MIN(40,INT((194-1)/12)+1)))</f>
        <v/>
      </c>
      <c r="E198" s="62">
        <f>E197*(1+INDEX(Settings!$E$13:$E$16,MATCH(C198,Settings!$A$13:$A$16,0)))+D198</f>
        <v/>
      </c>
      <c r="F198" s="62">
        <f>F197*(1+INDEX(Settings!$I$13:$I$16,MATCH(C198,Settings!$A$13:$A$16,0)))+D198</f>
        <v/>
      </c>
      <c r="G198" s="62">
        <f>G197*(1+INDEX(Settings!$J$13:$J$16,MATCH(C198,Settings!$A$13:$A$16,0)))+D198</f>
        <v/>
      </c>
    </row>
    <row r="199">
      <c r="A199" s="45" t="n">
        <v>195</v>
      </c>
      <c r="B199" s="67">
        <f>Dashboard!$C$5+(195-1)/12</f>
        <v/>
      </c>
      <c r="C199" s="27">
        <f>INDEX(Dashboard!$C$14:$C$21,MIN(8,INT((195-1)/60)+1))</f>
        <v/>
      </c>
      <c r="D199" s="62">
        <f>MIN(Dashboard!$C$9,INDEX(Settings!$B$19:$B$58,MIN(40,INT((195-1)/12)+1)))</f>
        <v/>
      </c>
      <c r="E199" s="62">
        <f>E198*(1+INDEX(Settings!$E$13:$E$16,MATCH(C199,Settings!$A$13:$A$16,0)))+D199</f>
        <v/>
      </c>
      <c r="F199" s="62">
        <f>F198*(1+INDEX(Settings!$I$13:$I$16,MATCH(C199,Settings!$A$13:$A$16,0)))+D199</f>
        <v/>
      </c>
      <c r="G199" s="62">
        <f>G198*(1+INDEX(Settings!$J$13:$J$16,MATCH(C199,Settings!$A$13:$A$16,0)))+D199</f>
        <v/>
      </c>
    </row>
    <row r="200">
      <c r="A200" s="45" t="n">
        <v>196</v>
      </c>
      <c r="B200" s="67">
        <f>Dashboard!$C$5+(196-1)/12</f>
        <v/>
      </c>
      <c r="C200" s="27">
        <f>INDEX(Dashboard!$C$14:$C$21,MIN(8,INT((196-1)/60)+1))</f>
        <v/>
      </c>
      <c r="D200" s="62">
        <f>MIN(Dashboard!$C$9,INDEX(Settings!$B$19:$B$58,MIN(40,INT((196-1)/12)+1)))</f>
        <v/>
      </c>
      <c r="E200" s="62">
        <f>E199*(1+INDEX(Settings!$E$13:$E$16,MATCH(C200,Settings!$A$13:$A$16,0)))+D200</f>
        <v/>
      </c>
      <c r="F200" s="62">
        <f>F199*(1+INDEX(Settings!$I$13:$I$16,MATCH(C200,Settings!$A$13:$A$16,0)))+D200</f>
        <v/>
      </c>
      <c r="G200" s="62">
        <f>G199*(1+INDEX(Settings!$J$13:$J$16,MATCH(C200,Settings!$A$13:$A$16,0)))+D200</f>
        <v/>
      </c>
    </row>
    <row r="201">
      <c r="A201" s="45" t="n">
        <v>197</v>
      </c>
      <c r="B201" s="67">
        <f>Dashboard!$C$5+(197-1)/12</f>
        <v/>
      </c>
      <c r="C201" s="27">
        <f>INDEX(Dashboard!$C$14:$C$21,MIN(8,INT((197-1)/60)+1))</f>
        <v/>
      </c>
      <c r="D201" s="62">
        <f>MIN(Dashboard!$C$9,INDEX(Settings!$B$19:$B$58,MIN(40,INT((197-1)/12)+1)))</f>
        <v/>
      </c>
      <c r="E201" s="62">
        <f>E200*(1+INDEX(Settings!$E$13:$E$16,MATCH(C201,Settings!$A$13:$A$16,0)))+D201</f>
        <v/>
      </c>
      <c r="F201" s="62">
        <f>F200*(1+INDEX(Settings!$I$13:$I$16,MATCH(C201,Settings!$A$13:$A$16,0)))+D201</f>
        <v/>
      </c>
      <c r="G201" s="62">
        <f>G200*(1+INDEX(Settings!$J$13:$J$16,MATCH(C201,Settings!$A$13:$A$16,0)))+D201</f>
        <v/>
      </c>
    </row>
    <row r="202">
      <c r="A202" s="45" t="n">
        <v>198</v>
      </c>
      <c r="B202" s="67">
        <f>Dashboard!$C$5+(198-1)/12</f>
        <v/>
      </c>
      <c r="C202" s="27">
        <f>INDEX(Dashboard!$C$14:$C$21,MIN(8,INT((198-1)/60)+1))</f>
        <v/>
      </c>
      <c r="D202" s="62">
        <f>MIN(Dashboard!$C$9,INDEX(Settings!$B$19:$B$58,MIN(40,INT((198-1)/12)+1)))</f>
        <v/>
      </c>
      <c r="E202" s="62">
        <f>E201*(1+INDEX(Settings!$E$13:$E$16,MATCH(C202,Settings!$A$13:$A$16,0)))+D202</f>
        <v/>
      </c>
      <c r="F202" s="62">
        <f>F201*(1+INDEX(Settings!$I$13:$I$16,MATCH(C202,Settings!$A$13:$A$16,0)))+D202</f>
        <v/>
      </c>
      <c r="G202" s="62">
        <f>G201*(1+INDEX(Settings!$J$13:$J$16,MATCH(C202,Settings!$A$13:$A$16,0)))+D202</f>
        <v/>
      </c>
    </row>
    <row r="203">
      <c r="A203" s="45" t="n">
        <v>199</v>
      </c>
      <c r="B203" s="67">
        <f>Dashboard!$C$5+(199-1)/12</f>
        <v/>
      </c>
      <c r="C203" s="27">
        <f>INDEX(Dashboard!$C$14:$C$21,MIN(8,INT((199-1)/60)+1))</f>
        <v/>
      </c>
      <c r="D203" s="62">
        <f>MIN(Dashboard!$C$9,INDEX(Settings!$B$19:$B$58,MIN(40,INT((199-1)/12)+1)))</f>
        <v/>
      </c>
      <c r="E203" s="62">
        <f>E202*(1+INDEX(Settings!$E$13:$E$16,MATCH(C203,Settings!$A$13:$A$16,0)))+D203</f>
        <v/>
      </c>
      <c r="F203" s="62">
        <f>F202*(1+INDEX(Settings!$I$13:$I$16,MATCH(C203,Settings!$A$13:$A$16,0)))+D203</f>
        <v/>
      </c>
      <c r="G203" s="62">
        <f>G202*(1+INDEX(Settings!$J$13:$J$16,MATCH(C203,Settings!$A$13:$A$16,0)))+D203</f>
        <v/>
      </c>
    </row>
    <row r="204">
      <c r="A204" s="45" t="n">
        <v>200</v>
      </c>
      <c r="B204" s="67">
        <f>Dashboard!$C$5+(200-1)/12</f>
        <v/>
      </c>
      <c r="C204" s="27">
        <f>INDEX(Dashboard!$C$14:$C$21,MIN(8,INT((200-1)/60)+1))</f>
        <v/>
      </c>
      <c r="D204" s="62">
        <f>MIN(Dashboard!$C$9,INDEX(Settings!$B$19:$B$58,MIN(40,INT((200-1)/12)+1)))</f>
        <v/>
      </c>
      <c r="E204" s="62">
        <f>E203*(1+INDEX(Settings!$E$13:$E$16,MATCH(C204,Settings!$A$13:$A$16,0)))+D204</f>
        <v/>
      </c>
      <c r="F204" s="62">
        <f>F203*(1+INDEX(Settings!$I$13:$I$16,MATCH(C204,Settings!$A$13:$A$16,0)))+D204</f>
        <v/>
      </c>
      <c r="G204" s="62">
        <f>G203*(1+INDEX(Settings!$J$13:$J$16,MATCH(C204,Settings!$A$13:$A$16,0)))+D204</f>
        <v/>
      </c>
    </row>
    <row r="205">
      <c r="A205" s="45" t="n">
        <v>201</v>
      </c>
      <c r="B205" s="67">
        <f>Dashboard!$C$5+(201-1)/12</f>
        <v/>
      </c>
      <c r="C205" s="27">
        <f>INDEX(Dashboard!$C$14:$C$21,MIN(8,INT((201-1)/60)+1))</f>
        <v/>
      </c>
      <c r="D205" s="62">
        <f>MIN(Dashboard!$C$9,INDEX(Settings!$B$19:$B$58,MIN(40,INT((201-1)/12)+1)))</f>
        <v/>
      </c>
      <c r="E205" s="62">
        <f>E204*(1+INDEX(Settings!$E$13:$E$16,MATCH(C205,Settings!$A$13:$A$16,0)))+D205</f>
        <v/>
      </c>
      <c r="F205" s="62">
        <f>F204*(1+INDEX(Settings!$I$13:$I$16,MATCH(C205,Settings!$A$13:$A$16,0)))+D205</f>
        <v/>
      </c>
      <c r="G205" s="62">
        <f>G204*(1+INDEX(Settings!$J$13:$J$16,MATCH(C205,Settings!$A$13:$A$16,0)))+D205</f>
        <v/>
      </c>
    </row>
    <row r="206">
      <c r="A206" s="45" t="n">
        <v>202</v>
      </c>
      <c r="B206" s="67">
        <f>Dashboard!$C$5+(202-1)/12</f>
        <v/>
      </c>
      <c r="C206" s="27">
        <f>INDEX(Dashboard!$C$14:$C$21,MIN(8,INT((202-1)/60)+1))</f>
        <v/>
      </c>
      <c r="D206" s="62">
        <f>MIN(Dashboard!$C$9,INDEX(Settings!$B$19:$B$58,MIN(40,INT((202-1)/12)+1)))</f>
        <v/>
      </c>
      <c r="E206" s="62">
        <f>E205*(1+INDEX(Settings!$E$13:$E$16,MATCH(C206,Settings!$A$13:$A$16,0)))+D206</f>
        <v/>
      </c>
      <c r="F206" s="62">
        <f>F205*(1+INDEX(Settings!$I$13:$I$16,MATCH(C206,Settings!$A$13:$A$16,0)))+D206</f>
        <v/>
      </c>
      <c r="G206" s="62">
        <f>G205*(1+INDEX(Settings!$J$13:$J$16,MATCH(C206,Settings!$A$13:$A$16,0)))+D206</f>
        <v/>
      </c>
    </row>
    <row r="207">
      <c r="A207" s="45" t="n">
        <v>203</v>
      </c>
      <c r="B207" s="67">
        <f>Dashboard!$C$5+(203-1)/12</f>
        <v/>
      </c>
      <c r="C207" s="27">
        <f>INDEX(Dashboard!$C$14:$C$21,MIN(8,INT((203-1)/60)+1))</f>
        <v/>
      </c>
      <c r="D207" s="62">
        <f>MIN(Dashboard!$C$9,INDEX(Settings!$B$19:$B$58,MIN(40,INT((203-1)/12)+1)))</f>
        <v/>
      </c>
      <c r="E207" s="62">
        <f>E206*(1+INDEX(Settings!$E$13:$E$16,MATCH(C207,Settings!$A$13:$A$16,0)))+D207</f>
        <v/>
      </c>
      <c r="F207" s="62">
        <f>F206*(1+INDEX(Settings!$I$13:$I$16,MATCH(C207,Settings!$A$13:$A$16,0)))+D207</f>
        <v/>
      </c>
      <c r="G207" s="62">
        <f>G206*(1+INDEX(Settings!$J$13:$J$16,MATCH(C207,Settings!$A$13:$A$16,0)))+D207</f>
        <v/>
      </c>
    </row>
    <row r="208">
      <c r="A208" s="45" t="n">
        <v>204</v>
      </c>
      <c r="B208" s="67">
        <f>Dashboard!$C$5+(204-1)/12</f>
        <v/>
      </c>
      <c r="C208" s="27">
        <f>INDEX(Dashboard!$C$14:$C$21,MIN(8,INT((204-1)/60)+1))</f>
        <v/>
      </c>
      <c r="D208" s="62">
        <f>MIN(Dashboard!$C$9,INDEX(Settings!$B$19:$B$58,MIN(40,INT((204-1)/12)+1)))</f>
        <v/>
      </c>
      <c r="E208" s="62">
        <f>E207*(1+INDEX(Settings!$E$13:$E$16,MATCH(C208,Settings!$A$13:$A$16,0)))+D208</f>
        <v/>
      </c>
      <c r="F208" s="62">
        <f>F207*(1+INDEX(Settings!$I$13:$I$16,MATCH(C208,Settings!$A$13:$A$16,0)))+D208</f>
        <v/>
      </c>
      <c r="G208" s="62">
        <f>G207*(1+INDEX(Settings!$J$13:$J$16,MATCH(C208,Settings!$A$13:$A$16,0)))+D208</f>
        <v/>
      </c>
    </row>
    <row r="209">
      <c r="A209" s="45" t="n">
        <v>205</v>
      </c>
      <c r="B209" s="67">
        <f>Dashboard!$C$5+(205-1)/12</f>
        <v/>
      </c>
      <c r="C209" s="27">
        <f>INDEX(Dashboard!$C$14:$C$21,MIN(8,INT((205-1)/60)+1))</f>
        <v/>
      </c>
      <c r="D209" s="62">
        <f>MIN(Dashboard!$C$9,INDEX(Settings!$B$19:$B$58,MIN(40,INT((205-1)/12)+1)))</f>
        <v/>
      </c>
      <c r="E209" s="62">
        <f>E208*(1+INDEX(Settings!$E$13:$E$16,MATCH(C209,Settings!$A$13:$A$16,0)))+D209</f>
        <v/>
      </c>
      <c r="F209" s="62">
        <f>F208*(1+INDEX(Settings!$I$13:$I$16,MATCH(C209,Settings!$A$13:$A$16,0)))+D209</f>
        <v/>
      </c>
      <c r="G209" s="62">
        <f>G208*(1+INDEX(Settings!$J$13:$J$16,MATCH(C209,Settings!$A$13:$A$16,0)))+D209</f>
        <v/>
      </c>
    </row>
    <row r="210">
      <c r="A210" s="45" t="n">
        <v>206</v>
      </c>
      <c r="B210" s="67">
        <f>Dashboard!$C$5+(206-1)/12</f>
        <v/>
      </c>
      <c r="C210" s="27">
        <f>INDEX(Dashboard!$C$14:$C$21,MIN(8,INT((206-1)/60)+1))</f>
        <v/>
      </c>
      <c r="D210" s="62">
        <f>MIN(Dashboard!$C$9,INDEX(Settings!$B$19:$B$58,MIN(40,INT((206-1)/12)+1)))</f>
        <v/>
      </c>
      <c r="E210" s="62">
        <f>E209*(1+INDEX(Settings!$E$13:$E$16,MATCH(C210,Settings!$A$13:$A$16,0)))+D210</f>
        <v/>
      </c>
      <c r="F210" s="62">
        <f>F209*(1+INDEX(Settings!$I$13:$I$16,MATCH(C210,Settings!$A$13:$A$16,0)))+D210</f>
        <v/>
      </c>
      <c r="G210" s="62">
        <f>G209*(1+INDEX(Settings!$J$13:$J$16,MATCH(C210,Settings!$A$13:$A$16,0)))+D210</f>
        <v/>
      </c>
    </row>
    <row r="211">
      <c r="A211" s="45" t="n">
        <v>207</v>
      </c>
      <c r="B211" s="67">
        <f>Dashboard!$C$5+(207-1)/12</f>
        <v/>
      </c>
      <c r="C211" s="27">
        <f>INDEX(Dashboard!$C$14:$C$21,MIN(8,INT((207-1)/60)+1))</f>
        <v/>
      </c>
      <c r="D211" s="62">
        <f>MIN(Dashboard!$C$9,INDEX(Settings!$B$19:$B$58,MIN(40,INT((207-1)/12)+1)))</f>
        <v/>
      </c>
      <c r="E211" s="62">
        <f>E210*(1+INDEX(Settings!$E$13:$E$16,MATCH(C211,Settings!$A$13:$A$16,0)))+D211</f>
        <v/>
      </c>
      <c r="F211" s="62">
        <f>F210*(1+INDEX(Settings!$I$13:$I$16,MATCH(C211,Settings!$A$13:$A$16,0)))+D211</f>
        <v/>
      </c>
      <c r="G211" s="62">
        <f>G210*(1+INDEX(Settings!$J$13:$J$16,MATCH(C211,Settings!$A$13:$A$16,0)))+D211</f>
        <v/>
      </c>
    </row>
    <row r="212">
      <c r="A212" s="45" t="n">
        <v>208</v>
      </c>
      <c r="B212" s="67">
        <f>Dashboard!$C$5+(208-1)/12</f>
        <v/>
      </c>
      <c r="C212" s="27">
        <f>INDEX(Dashboard!$C$14:$C$21,MIN(8,INT((208-1)/60)+1))</f>
        <v/>
      </c>
      <c r="D212" s="62">
        <f>MIN(Dashboard!$C$9,INDEX(Settings!$B$19:$B$58,MIN(40,INT((208-1)/12)+1)))</f>
        <v/>
      </c>
      <c r="E212" s="62">
        <f>E211*(1+INDEX(Settings!$E$13:$E$16,MATCH(C212,Settings!$A$13:$A$16,0)))+D212</f>
        <v/>
      </c>
      <c r="F212" s="62">
        <f>F211*(1+INDEX(Settings!$I$13:$I$16,MATCH(C212,Settings!$A$13:$A$16,0)))+D212</f>
        <v/>
      </c>
      <c r="G212" s="62">
        <f>G211*(1+INDEX(Settings!$J$13:$J$16,MATCH(C212,Settings!$A$13:$A$16,0)))+D212</f>
        <v/>
      </c>
    </row>
    <row r="213">
      <c r="A213" s="45" t="n">
        <v>209</v>
      </c>
      <c r="B213" s="67">
        <f>Dashboard!$C$5+(209-1)/12</f>
        <v/>
      </c>
      <c r="C213" s="27">
        <f>INDEX(Dashboard!$C$14:$C$21,MIN(8,INT((209-1)/60)+1))</f>
        <v/>
      </c>
      <c r="D213" s="62">
        <f>MIN(Dashboard!$C$9,INDEX(Settings!$B$19:$B$58,MIN(40,INT((209-1)/12)+1)))</f>
        <v/>
      </c>
      <c r="E213" s="62">
        <f>E212*(1+INDEX(Settings!$E$13:$E$16,MATCH(C213,Settings!$A$13:$A$16,0)))+D213</f>
        <v/>
      </c>
      <c r="F213" s="62">
        <f>F212*(1+INDEX(Settings!$I$13:$I$16,MATCH(C213,Settings!$A$13:$A$16,0)))+D213</f>
        <v/>
      </c>
      <c r="G213" s="62">
        <f>G212*(1+INDEX(Settings!$J$13:$J$16,MATCH(C213,Settings!$A$13:$A$16,0)))+D213</f>
        <v/>
      </c>
    </row>
    <row r="214">
      <c r="A214" s="45" t="n">
        <v>210</v>
      </c>
      <c r="B214" s="67">
        <f>Dashboard!$C$5+(210-1)/12</f>
        <v/>
      </c>
      <c r="C214" s="27">
        <f>INDEX(Dashboard!$C$14:$C$21,MIN(8,INT((210-1)/60)+1))</f>
        <v/>
      </c>
      <c r="D214" s="62">
        <f>MIN(Dashboard!$C$9,INDEX(Settings!$B$19:$B$58,MIN(40,INT((210-1)/12)+1)))</f>
        <v/>
      </c>
      <c r="E214" s="62">
        <f>E213*(1+INDEX(Settings!$E$13:$E$16,MATCH(C214,Settings!$A$13:$A$16,0)))+D214</f>
        <v/>
      </c>
      <c r="F214" s="62">
        <f>F213*(1+INDEX(Settings!$I$13:$I$16,MATCH(C214,Settings!$A$13:$A$16,0)))+D214</f>
        <v/>
      </c>
      <c r="G214" s="62">
        <f>G213*(1+INDEX(Settings!$J$13:$J$16,MATCH(C214,Settings!$A$13:$A$16,0)))+D214</f>
        <v/>
      </c>
    </row>
    <row r="215">
      <c r="A215" s="45" t="n">
        <v>211</v>
      </c>
      <c r="B215" s="67">
        <f>Dashboard!$C$5+(211-1)/12</f>
        <v/>
      </c>
      <c r="C215" s="27">
        <f>INDEX(Dashboard!$C$14:$C$21,MIN(8,INT((211-1)/60)+1))</f>
        <v/>
      </c>
      <c r="D215" s="62">
        <f>MIN(Dashboard!$C$9,INDEX(Settings!$B$19:$B$58,MIN(40,INT((211-1)/12)+1)))</f>
        <v/>
      </c>
      <c r="E215" s="62">
        <f>E214*(1+INDEX(Settings!$E$13:$E$16,MATCH(C215,Settings!$A$13:$A$16,0)))+D215</f>
        <v/>
      </c>
      <c r="F215" s="62">
        <f>F214*(1+INDEX(Settings!$I$13:$I$16,MATCH(C215,Settings!$A$13:$A$16,0)))+D215</f>
        <v/>
      </c>
      <c r="G215" s="62">
        <f>G214*(1+INDEX(Settings!$J$13:$J$16,MATCH(C215,Settings!$A$13:$A$16,0)))+D215</f>
        <v/>
      </c>
    </row>
    <row r="216">
      <c r="A216" s="45" t="n">
        <v>212</v>
      </c>
      <c r="B216" s="67">
        <f>Dashboard!$C$5+(212-1)/12</f>
        <v/>
      </c>
      <c r="C216" s="27">
        <f>INDEX(Dashboard!$C$14:$C$21,MIN(8,INT((212-1)/60)+1))</f>
        <v/>
      </c>
      <c r="D216" s="62">
        <f>MIN(Dashboard!$C$9,INDEX(Settings!$B$19:$B$58,MIN(40,INT((212-1)/12)+1)))</f>
        <v/>
      </c>
      <c r="E216" s="62">
        <f>E215*(1+INDEX(Settings!$E$13:$E$16,MATCH(C216,Settings!$A$13:$A$16,0)))+D216</f>
        <v/>
      </c>
      <c r="F216" s="62">
        <f>F215*(1+INDEX(Settings!$I$13:$I$16,MATCH(C216,Settings!$A$13:$A$16,0)))+D216</f>
        <v/>
      </c>
      <c r="G216" s="62">
        <f>G215*(1+INDEX(Settings!$J$13:$J$16,MATCH(C216,Settings!$A$13:$A$16,0)))+D216</f>
        <v/>
      </c>
    </row>
    <row r="217">
      <c r="A217" s="45" t="n">
        <v>213</v>
      </c>
      <c r="B217" s="67">
        <f>Dashboard!$C$5+(213-1)/12</f>
        <v/>
      </c>
      <c r="C217" s="27">
        <f>INDEX(Dashboard!$C$14:$C$21,MIN(8,INT((213-1)/60)+1))</f>
        <v/>
      </c>
      <c r="D217" s="62">
        <f>MIN(Dashboard!$C$9,INDEX(Settings!$B$19:$B$58,MIN(40,INT((213-1)/12)+1)))</f>
        <v/>
      </c>
      <c r="E217" s="62">
        <f>E216*(1+INDEX(Settings!$E$13:$E$16,MATCH(C217,Settings!$A$13:$A$16,0)))+D217</f>
        <v/>
      </c>
      <c r="F217" s="62">
        <f>F216*(1+INDEX(Settings!$I$13:$I$16,MATCH(C217,Settings!$A$13:$A$16,0)))+D217</f>
        <v/>
      </c>
      <c r="G217" s="62">
        <f>G216*(1+INDEX(Settings!$J$13:$J$16,MATCH(C217,Settings!$A$13:$A$16,0)))+D217</f>
        <v/>
      </c>
    </row>
    <row r="218">
      <c r="A218" s="45" t="n">
        <v>214</v>
      </c>
      <c r="B218" s="67">
        <f>Dashboard!$C$5+(214-1)/12</f>
        <v/>
      </c>
      <c r="C218" s="27">
        <f>INDEX(Dashboard!$C$14:$C$21,MIN(8,INT((214-1)/60)+1))</f>
        <v/>
      </c>
      <c r="D218" s="62">
        <f>MIN(Dashboard!$C$9,INDEX(Settings!$B$19:$B$58,MIN(40,INT((214-1)/12)+1)))</f>
        <v/>
      </c>
      <c r="E218" s="62">
        <f>E217*(1+INDEX(Settings!$E$13:$E$16,MATCH(C218,Settings!$A$13:$A$16,0)))+D218</f>
        <v/>
      </c>
      <c r="F218" s="62">
        <f>F217*(1+INDEX(Settings!$I$13:$I$16,MATCH(C218,Settings!$A$13:$A$16,0)))+D218</f>
        <v/>
      </c>
      <c r="G218" s="62">
        <f>G217*(1+INDEX(Settings!$J$13:$J$16,MATCH(C218,Settings!$A$13:$A$16,0)))+D218</f>
        <v/>
      </c>
    </row>
    <row r="219">
      <c r="A219" s="45" t="n">
        <v>215</v>
      </c>
      <c r="B219" s="67">
        <f>Dashboard!$C$5+(215-1)/12</f>
        <v/>
      </c>
      <c r="C219" s="27">
        <f>INDEX(Dashboard!$C$14:$C$21,MIN(8,INT((215-1)/60)+1))</f>
        <v/>
      </c>
      <c r="D219" s="62">
        <f>MIN(Dashboard!$C$9,INDEX(Settings!$B$19:$B$58,MIN(40,INT((215-1)/12)+1)))</f>
        <v/>
      </c>
      <c r="E219" s="62">
        <f>E218*(1+INDEX(Settings!$E$13:$E$16,MATCH(C219,Settings!$A$13:$A$16,0)))+D219</f>
        <v/>
      </c>
      <c r="F219" s="62">
        <f>F218*(1+INDEX(Settings!$I$13:$I$16,MATCH(C219,Settings!$A$13:$A$16,0)))+D219</f>
        <v/>
      </c>
      <c r="G219" s="62">
        <f>G218*(1+INDEX(Settings!$J$13:$J$16,MATCH(C219,Settings!$A$13:$A$16,0)))+D219</f>
        <v/>
      </c>
    </row>
    <row r="220">
      <c r="A220" s="45" t="n">
        <v>216</v>
      </c>
      <c r="B220" s="67">
        <f>Dashboard!$C$5+(216-1)/12</f>
        <v/>
      </c>
      <c r="C220" s="27">
        <f>INDEX(Dashboard!$C$14:$C$21,MIN(8,INT((216-1)/60)+1))</f>
        <v/>
      </c>
      <c r="D220" s="62">
        <f>MIN(Dashboard!$C$9,INDEX(Settings!$B$19:$B$58,MIN(40,INT((216-1)/12)+1)))</f>
        <v/>
      </c>
      <c r="E220" s="62">
        <f>E219*(1+INDEX(Settings!$E$13:$E$16,MATCH(C220,Settings!$A$13:$A$16,0)))+D220</f>
        <v/>
      </c>
      <c r="F220" s="62">
        <f>F219*(1+INDEX(Settings!$I$13:$I$16,MATCH(C220,Settings!$A$13:$A$16,0)))+D220</f>
        <v/>
      </c>
      <c r="G220" s="62">
        <f>G219*(1+INDEX(Settings!$J$13:$J$16,MATCH(C220,Settings!$A$13:$A$16,0)))+D220</f>
        <v/>
      </c>
    </row>
    <row r="221">
      <c r="A221" s="45" t="n">
        <v>217</v>
      </c>
      <c r="B221" s="67">
        <f>Dashboard!$C$5+(217-1)/12</f>
        <v/>
      </c>
      <c r="C221" s="27">
        <f>INDEX(Dashboard!$C$14:$C$21,MIN(8,INT((217-1)/60)+1))</f>
        <v/>
      </c>
      <c r="D221" s="62">
        <f>MIN(Dashboard!$C$9,INDEX(Settings!$B$19:$B$58,MIN(40,INT((217-1)/12)+1)))</f>
        <v/>
      </c>
      <c r="E221" s="62">
        <f>E220*(1+INDEX(Settings!$E$13:$E$16,MATCH(C221,Settings!$A$13:$A$16,0)))+D221</f>
        <v/>
      </c>
      <c r="F221" s="62">
        <f>F220*(1+INDEX(Settings!$I$13:$I$16,MATCH(C221,Settings!$A$13:$A$16,0)))+D221</f>
        <v/>
      </c>
      <c r="G221" s="62">
        <f>G220*(1+INDEX(Settings!$J$13:$J$16,MATCH(C221,Settings!$A$13:$A$16,0)))+D221</f>
        <v/>
      </c>
    </row>
    <row r="222">
      <c r="A222" s="45" t="n">
        <v>218</v>
      </c>
      <c r="B222" s="67">
        <f>Dashboard!$C$5+(218-1)/12</f>
        <v/>
      </c>
      <c r="C222" s="27">
        <f>INDEX(Dashboard!$C$14:$C$21,MIN(8,INT((218-1)/60)+1))</f>
        <v/>
      </c>
      <c r="D222" s="62">
        <f>MIN(Dashboard!$C$9,INDEX(Settings!$B$19:$B$58,MIN(40,INT((218-1)/12)+1)))</f>
        <v/>
      </c>
      <c r="E222" s="62">
        <f>E221*(1+INDEX(Settings!$E$13:$E$16,MATCH(C222,Settings!$A$13:$A$16,0)))+D222</f>
        <v/>
      </c>
      <c r="F222" s="62">
        <f>F221*(1+INDEX(Settings!$I$13:$I$16,MATCH(C222,Settings!$A$13:$A$16,0)))+D222</f>
        <v/>
      </c>
      <c r="G222" s="62">
        <f>G221*(1+INDEX(Settings!$J$13:$J$16,MATCH(C222,Settings!$A$13:$A$16,0)))+D222</f>
        <v/>
      </c>
    </row>
    <row r="223">
      <c r="A223" s="45" t="n">
        <v>219</v>
      </c>
      <c r="B223" s="67">
        <f>Dashboard!$C$5+(219-1)/12</f>
        <v/>
      </c>
      <c r="C223" s="27">
        <f>INDEX(Dashboard!$C$14:$C$21,MIN(8,INT((219-1)/60)+1))</f>
        <v/>
      </c>
      <c r="D223" s="62">
        <f>MIN(Dashboard!$C$9,INDEX(Settings!$B$19:$B$58,MIN(40,INT((219-1)/12)+1)))</f>
        <v/>
      </c>
      <c r="E223" s="62">
        <f>E222*(1+INDEX(Settings!$E$13:$E$16,MATCH(C223,Settings!$A$13:$A$16,0)))+D223</f>
        <v/>
      </c>
      <c r="F223" s="62">
        <f>F222*(1+INDEX(Settings!$I$13:$I$16,MATCH(C223,Settings!$A$13:$A$16,0)))+D223</f>
        <v/>
      </c>
      <c r="G223" s="62">
        <f>G222*(1+INDEX(Settings!$J$13:$J$16,MATCH(C223,Settings!$A$13:$A$16,0)))+D223</f>
        <v/>
      </c>
    </row>
    <row r="224">
      <c r="A224" s="45" t="n">
        <v>220</v>
      </c>
      <c r="B224" s="67">
        <f>Dashboard!$C$5+(220-1)/12</f>
        <v/>
      </c>
      <c r="C224" s="27">
        <f>INDEX(Dashboard!$C$14:$C$21,MIN(8,INT((220-1)/60)+1))</f>
        <v/>
      </c>
      <c r="D224" s="62">
        <f>MIN(Dashboard!$C$9,INDEX(Settings!$B$19:$B$58,MIN(40,INT((220-1)/12)+1)))</f>
        <v/>
      </c>
      <c r="E224" s="62">
        <f>E223*(1+INDEX(Settings!$E$13:$E$16,MATCH(C224,Settings!$A$13:$A$16,0)))+D224</f>
        <v/>
      </c>
      <c r="F224" s="62">
        <f>F223*(1+INDEX(Settings!$I$13:$I$16,MATCH(C224,Settings!$A$13:$A$16,0)))+D224</f>
        <v/>
      </c>
      <c r="G224" s="62">
        <f>G223*(1+INDEX(Settings!$J$13:$J$16,MATCH(C224,Settings!$A$13:$A$16,0)))+D224</f>
        <v/>
      </c>
    </row>
    <row r="225">
      <c r="A225" s="45" t="n">
        <v>221</v>
      </c>
      <c r="B225" s="67">
        <f>Dashboard!$C$5+(221-1)/12</f>
        <v/>
      </c>
      <c r="C225" s="27">
        <f>INDEX(Dashboard!$C$14:$C$21,MIN(8,INT((221-1)/60)+1))</f>
        <v/>
      </c>
      <c r="D225" s="62">
        <f>MIN(Dashboard!$C$9,INDEX(Settings!$B$19:$B$58,MIN(40,INT((221-1)/12)+1)))</f>
        <v/>
      </c>
      <c r="E225" s="62">
        <f>E224*(1+INDEX(Settings!$E$13:$E$16,MATCH(C225,Settings!$A$13:$A$16,0)))+D225</f>
        <v/>
      </c>
      <c r="F225" s="62">
        <f>F224*(1+INDEX(Settings!$I$13:$I$16,MATCH(C225,Settings!$A$13:$A$16,0)))+D225</f>
        <v/>
      </c>
      <c r="G225" s="62">
        <f>G224*(1+INDEX(Settings!$J$13:$J$16,MATCH(C225,Settings!$A$13:$A$16,0)))+D225</f>
        <v/>
      </c>
    </row>
    <row r="226">
      <c r="A226" s="45" t="n">
        <v>222</v>
      </c>
      <c r="B226" s="67">
        <f>Dashboard!$C$5+(222-1)/12</f>
        <v/>
      </c>
      <c r="C226" s="27">
        <f>INDEX(Dashboard!$C$14:$C$21,MIN(8,INT((222-1)/60)+1))</f>
        <v/>
      </c>
      <c r="D226" s="62">
        <f>MIN(Dashboard!$C$9,INDEX(Settings!$B$19:$B$58,MIN(40,INT((222-1)/12)+1)))</f>
        <v/>
      </c>
      <c r="E226" s="62">
        <f>E225*(1+INDEX(Settings!$E$13:$E$16,MATCH(C226,Settings!$A$13:$A$16,0)))+D226</f>
        <v/>
      </c>
      <c r="F226" s="62">
        <f>F225*(1+INDEX(Settings!$I$13:$I$16,MATCH(C226,Settings!$A$13:$A$16,0)))+D226</f>
        <v/>
      </c>
      <c r="G226" s="62">
        <f>G225*(1+INDEX(Settings!$J$13:$J$16,MATCH(C226,Settings!$A$13:$A$16,0)))+D226</f>
        <v/>
      </c>
    </row>
    <row r="227">
      <c r="A227" s="45" t="n">
        <v>223</v>
      </c>
      <c r="B227" s="67">
        <f>Dashboard!$C$5+(223-1)/12</f>
        <v/>
      </c>
      <c r="C227" s="27">
        <f>INDEX(Dashboard!$C$14:$C$21,MIN(8,INT((223-1)/60)+1))</f>
        <v/>
      </c>
      <c r="D227" s="62">
        <f>MIN(Dashboard!$C$9,INDEX(Settings!$B$19:$B$58,MIN(40,INT((223-1)/12)+1)))</f>
        <v/>
      </c>
      <c r="E227" s="62">
        <f>E226*(1+INDEX(Settings!$E$13:$E$16,MATCH(C227,Settings!$A$13:$A$16,0)))+D227</f>
        <v/>
      </c>
      <c r="F227" s="62">
        <f>F226*(1+INDEX(Settings!$I$13:$I$16,MATCH(C227,Settings!$A$13:$A$16,0)))+D227</f>
        <v/>
      </c>
      <c r="G227" s="62">
        <f>G226*(1+INDEX(Settings!$J$13:$J$16,MATCH(C227,Settings!$A$13:$A$16,0)))+D227</f>
        <v/>
      </c>
    </row>
    <row r="228">
      <c r="A228" s="45" t="n">
        <v>224</v>
      </c>
      <c r="B228" s="67">
        <f>Dashboard!$C$5+(224-1)/12</f>
        <v/>
      </c>
      <c r="C228" s="27">
        <f>INDEX(Dashboard!$C$14:$C$21,MIN(8,INT((224-1)/60)+1))</f>
        <v/>
      </c>
      <c r="D228" s="62">
        <f>MIN(Dashboard!$C$9,INDEX(Settings!$B$19:$B$58,MIN(40,INT((224-1)/12)+1)))</f>
        <v/>
      </c>
      <c r="E228" s="62">
        <f>E227*(1+INDEX(Settings!$E$13:$E$16,MATCH(C228,Settings!$A$13:$A$16,0)))+D228</f>
        <v/>
      </c>
      <c r="F228" s="62">
        <f>F227*(1+INDEX(Settings!$I$13:$I$16,MATCH(C228,Settings!$A$13:$A$16,0)))+D228</f>
        <v/>
      </c>
      <c r="G228" s="62">
        <f>G227*(1+INDEX(Settings!$J$13:$J$16,MATCH(C228,Settings!$A$13:$A$16,0)))+D228</f>
        <v/>
      </c>
    </row>
    <row r="229">
      <c r="A229" s="45" t="n">
        <v>225</v>
      </c>
      <c r="B229" s="67">
        <f>Dashboard!$C$5+(225-1)/12</f>
        <v/>
      </c>
      <c r="C229" s="27">
        <f>INDEX(Dashboard!$C$14:$C$21,MIN(8,INT((225-1)/60)+1))</f>
        <v/>
      </c>
      <c r="D229" s="62">
        <f>MIN(Dashboard!$C$9,INDEX(Settings!$B$19:$B$58,MIN(40,INT((225-1)/12)+1)))</f>
        <v/>
      </c>
      <c r="E229" s="62">
        <f>E228*(1+INDEX(Settings!$E$13:$E$16,MATCH(C229,Settings!$A$13:$A$16,0)))+D229</f>
        <v/>
      </c>
      <c r="F229" s="62">
        <f>F228*(1+INDEX(Settings!$I$13:$I$16,MATCH(C229,Settings!$A$13:$A$16,0)))+D229</f>
        <v/>
      </c>
      <c r="G229" s="62">
        <f>G228*(1+INDEX(Settings!$J$13:$J$16,MATCH(C229,Settings!$A$13:$A$16,0)))+D229</f>
        <v/>
      </c>
    </row>
    <row r="230">
      <c r="A230" s="45" t="n">
        <v>226</v>
      </c>
      <c r="B230" s="67">
        <f>Dashboard!$C$5+(226-1)/12</f>
        <v/>
      </c>
      <c r="C230" s="27">
        <f>INDEX(Dashboard!$C$14:$C$21,MIN(8,INT((226-1)/60)+1))</f>
        <v/>
      </c>
      <c r="D230" s="62">
        <f>MIN(Dashboard!$C$9,INDEX(Settings!$B$19:$B$58,MIN(40,INT((226-1)/12)+1)))</f>
        <v/>
      </c>
      <c r="E230" s="62">
        <f>E229*(1+INDEX(Settings!$E$13:$E$16,MATCH(C230,Settings!$A$13:$A$16,0)))+D230</f>
        <v/>
      </c>
      <c r="F230" s="62">
        <f>F229*(1+INDEX(Settings!$I$13:$I$16,MATCH(C230,Settings!$A$13:$A$16,0)))+D230</f>
        <v/>
      </c>
      <c r="G230" s="62">
        <f>G229*(1+INDEX(Settings!$J$13:$J$16,MATCH(C230,Settings!$A$13:$A$16,0)))+D230</f>
        <v/>
      </c>
    </row>
    <row r="231">
      <c r="A231" s="45" t="n">
        <v>227</v>
      </c>
      <c r="B231" s="67">
        <f>Dashboard!$C$5+(227-1)/12</f>
        <v/>
      </c>
      <c r="C231" s="27">
        <f>INDEX(Dashboard!$C$14:$C$21,MIN(8,INT((227-1)/60)+1))</f>
        <v/>
      </c>
      <c r="D231" s="62">
        <f>MIN(Dashboard!$C$9,INDEX(Settings!$B$19:$B$58,MIN(40,INT((227-1)/12)+1)))</f>
        <v/>
      </c>
      <c r="E231" s="62">
        <f>E230*(1+INDEX(Settings!$E$13:$E$16,MATCH(C231,Settings!$A$13:$A$16,0)))+D231</f>
        <v/>
      </c>
      <c r="F231" s="62">
        <f>F230*(1+INDEX(Settings!$I$13:$I$16,MATCH(C231,Settings!$A$13:$A$16,0)))+D231</f>
        <v/>
      </c>
      <c r="G231" s="62">
        <f>G230*(1+INDEX(Settings!$J$13:$J$16,MATCH(C231,Settings!$A$13:$A$16,0)))+D231</f>
        <v/>
      </c>
    </row>
    <row r="232">
      <c r="A232" s="45" t="n">
        <v>228</v>
      </c>
      <c r="B232" s="67">
        <f>Dashboard!$C$5+(228-1)/12</f>
        <v/>
      </c>
      <c r="C232" s="27">
        <f>INDEX(Dashboard!$C$14:$C$21,MIN(8,INT((228-1)/60)+1))</f>
        <v/>
      </c>
      <c r="D232" s="62">
        <f>MIN(Dashboard!$C$9,INDEX(Settings!$B$19:$B$58,MIN(40,INT((228-1)/12)+1)))</f>
        <v/>
      </c>
      <c r="E232" s="62">
        <f>E231*(1+INDEX(Settings!$E$13:$E$16,MATCH(C232,Settings!$A$13:$A$16,0)))+D232</f>
        <v/>
      </c>
      <c r="F232" s="62">
        <f>F231*(1+INDEX(Settings!$I$13:$I$16,MATCH(C232,Settings!$A$13:$A$16,0)))+D232</f>
        <v/>
      </c>
      <c r="G232" s="62">
        <f>G231*(1+INDEX(Settings!$J$13:$J$16,MATCH(C232,Settings!$A$13:$A$16,0)))+D232</f>
        <v/>
      </c>
    </row>
    <row r="233">
      <c r="A233" s="45" t="n">
        <v>229</v>
      </c>
      <c r="B233" s="67">
        <f>Dashboard!$C$5+(229-1)/12</f>
        <v/>
      </c>
      <c r="C233" s="27">
        <f>INDEX(Dashboard!$C$14:$C$21,MIN(8,INT((229-1)/60)+1))</f>
        <v/>
      </c>
      <c r="D233" s="62">
        <f>MIN(Dashboard!$C$9,INDEX(Settings!$B$19:$B$58,MIN(40,INT((229-1)/12)+1)))</f>
        <v/>
      </c>
      <c r="E233" s="62">
        <f>E232*(1+INDEX(Settings!$E$13:$E$16,MATCH(C233,Settings!$A$13:$A$16,0)))+D233</f>
        <v/>
      </c>
      <c r="F233" s="62">
        <f>F232*(1+INDEX(Settings!$I$13:$I$16,MATCH(C233,Settings!$A$13:$A$16,0)))+D233</f>
        <v/>
      </c>
      <c r="G233" s="62">
        <f>G232*(1+INDEX(Settings!$J$13:$J$16,MATCH(C233,Settings!$A$13:$A$16,0)))+D233</f>
        <v/>
      </c>
    </row>
    <row r="234">
      <c r="A234" s="45" t="n">
        <v>230</v>
      </c>
      <c r="B234" s="67">
        <f>Dashboard!$C$5+(230-1)/12</f>
        <v/>
      </c>
      <c r="C234" s="27">
        <f>INDEX(Dashboard!$C$14:$C$21,MIN(8,INT((230-1)/60)+1))</f>
        <v/>
      </c>
      <c r="D234" s="62">
        <f>MIN(Dashboard!$C$9,INDEX(Settings!$B$19:$B$58,MIN(40,INT((230-1)/12)+1)))</f>
        <v/>
      </c>
      <c r="E234" s="62">
        <f>E233*(1+INDEX(Settings!$E$13:$E$16,MATCH(C234,Settings!$A$13:$A$16,0)))+D234</f>
        <v/>
      </c>
      <c r="F234" s="62">
        <f>F233*(1+INDEX(Settings!$I$13:$I$16,MATCH(C234,Settings!$A$13:$A$16,0)))+D234</f>
        <v/>
      </c>
      <c r="G234" s="62">
        <f>G233*(1+INDEX(Settings!$J$13:$J$16,MATCH(C234,Settings!$A$13:$A$16,0)))+D234</f>
        <v/>
      </c>
    </row>
    <row r="235">
      <c r="A235" s="45" t="n">
        <v>231</v>
      </c>
      <c r="B235" s="67">
        <f>Dashboard!$C$5+(231-1)/12</f>
        <v/>
      </c>
      <c r="C235" s="27">
        <f>INDEX(Dashboard!$C$14:$C$21,MIN(8,INT((231-1)/60)+1))</f>
        <v/>
      </c>
      <c r="D235" s="62">
        <f>MIN(Dashboard!$C$9,INDEX(Settings!$B$19:$B$58,MIN(40,INT((231-1)/12)+1)))</f>
        <v/>
      </c>
      <c r="E235" s="62">
        <f>E234*(1+INDEX(Settings!$E$13:$E$16,MATCH(C235,Settings!$A$13:$A$16,0)))+D235</f>
        <v/>
      </c>
      <c r="F235" s="62">
        <f>F234*(1+INDEX(Settings!$I$13:$I$16,MATCH(C235,Settings!$A$13:$A$16,0)))+D235</f>
        <v/>
      </c>
      <c r="G235" s="62">
        <f>G234*(1+INDEX(Settings!$J$13:$J$16,MATCH(C235,Settings!$A$13:$A$16,0)))+D235</f>
        <v/>
      </c>
    </row>
    <row r="236">
      <c r="A236" s="45" t="n">
        <v>232</v>
      </c>
      <c r="B236" s="67">
        <f>Dashboard!$C$5+(232-1)/12</f>
        <v/>
      </c>
      <c r="C236" s="27">
        <f>INDEX(Dashboard!$C$14:$C$21,MIN(8,INT((232-1)/60)+1))</f>
        <v/>
      </c>
      <c r="D236" s="62">
        <f>MIN(Dashboard!$C$9,INDEX(Settings!$B$19:$B$58,MIN(40,INT((232-1)/12)+1)))</f>
        <v/>
      </c>
      <c r="E236" s="62">
        <f>E235*(1+INDEX(Settings!$E$13:$E$16,MATCH(C236,Settings!$A$13:$A$16,0)))+D236</f>
        <v/>
      </c>
      <c r="F236" s="62">
        <f>F235*(1+INDEX(Settings!$I$13:$I$16,MATCH(C236,Settings!$A$13:$A$16,0)))+D236</f>
        <v/>
      </c>
      <c r="G236" s="62">
        <f>G235*(1+INDEX(Settings!$J$13:$J$16,MATCH(C236,Settings!$A$13:$A$16,0)))+D236</f>
        <v/>
      </c>
    </row>
    <row r="237">
      <c r="A237" s="45" t="n">
        <v>233</v>
      </c>
      <c r="B237" s="67">
        <f>Dashboard!$C$5+(233-1)/12</f>
        <v/>
      </c>
      <c r="C237" s="27">
        <f>INDEX(Dashboard!$C$14:$C$21,MIN(8,INT((233-1)/60)+1))</f>
        <v/>
      </c>
      <c r="D237" s="62">
        <f>MIN(Dashboard!$C$9,INDEX(Settings!$B$19:$B$58,MIN(40,INT((233-1)/12)+1)))</f>
        <v/>
      </c>
      <c r="E237" s="62">
        <f>E236*(1+INDEX(Settings!$E$13:$E$16,MATCH(C237,Settings!$A$13:$A$16,0)))+D237</f>
        <v/>
      </c>
      <c r="F237" s="62">
        <f>F236*(1+INDEX(Settings!$I$13:$I$16,MATCH(C237,Settings!$A$13:$A$16,0)))+D237</f>
        <v/>
      </c>
      <c r="G237" s="62">
        <f>G236*(1+INDEX(Settings!$J$13:$J$16,MATCH(C237,Settings!$A$13:$A$16,0)))+D237</f>
        <v/>
      </c>
    </row>
    <row r="238">
      <c r="A238" s="45" t="n">
        <v>234</v>
      </c>
      <c r="B238" s="67">
        <f>Dashboard!$C$5+(234-1)/12</f>
        <v/>
      </c>
      <c r="C238" s="27">
        <f>INDEX(Dashboard!$C$14:$C$21,MIN(8,INT((234-1)/60)+1))</f>
        <v/>
      </c>
      <c r="D238" s="62">
        <f>MIN(Dashboard!$C$9,INDEX(Settings!$B$19:$B$58,MIN(40,INT((234-1)/12)+1)))</f>
        <v/>
      </c>
      <c r="E238" s="62">
        <f>E237*(1+INDEX(Settings!$E$13:$E$16,MATCH(C238,Settings!$A$13:$A$16,0)))+D238</f>
        <v/>
      </c>
      <c r="F238" s="62">
        <f>F237*(1+INDEX(Settings!$I$13:$I$16,MATCH(C238,Settings!$A$13:$A$16,0)))+D238</f>
        <v/>
      </c>
      <c r="G238" s="62">
        <f>G237*(1+INDEX(Settings!$J$13:$J$16,MATCH(C238,Settings!$A$13:$A$16,0)))+D238</f>
        <v/>
      </c>
    </row>
    <row r="239">
      <c r="A239" s="45" t="n">
        <v>235</v>
      </c>
      <c r="B239" s="67">
        <f>Dashboard!$C$5+(235-1)/12</f>
        <v/>
      </c>
      <c r="C239" s="27">
        <f>INDEX(Dashboard!$C$14:$C$21,MIN(8,INT((235-1)/60)+1))</f>
        <v/>
      </c>
      <c r="D239" s="62">
        <f>MIN(Dashboard!$C$9,INDEX(Settings!$B$19:$B$58,MIN(40,INT((235-1)/12)+1)))</f>
        <v/>
      </c>
      <c r="E239" s="62">
        <f>E238*(1+INDEX(Settings!$E$13:$E$16,MATCH(C239,Settings!$A$13:$A$16,0)))+D239</f>
        <v/>
      </c>
      <c r="F239" s="62">
        <f>F238*(1+INDEX(Settings!$I$13:$I$16,MATCH(C239,Settings!$A$13:$A$16,0)))+D239</f>
        <v/>
      </c>
      <c r="G239" s="62">
        <f>G238*(1+INDEX(Settings!$J$13:$J$16,MATCH(C239,Settings!$A$13:$A$16,0)))+D239</f>
        <v/>
      </c>
    </row>
    <row r="240">
      <c r="A240" s="45" t="n">
        <v>236</v>
      </c>
      <c r="B240" s="67">
        <f>Dashboard!$C$5+(236-1)/12</f>
        <v/>
      </c>
      <c r="C240" s="27">
        <f>INDEX(Dashboard!$C$14:$C$21,MIN(8,INT((236-1)/60)+1))</f>
        <v/>
      </c>
      <c r="D240" s="62">
        <f>MIN(Dashboard!$C$9,INDEX(Settings!$B$19:$B$58,MIN(40,INT((236-1)/12)+1)))</f>
        <v/>
      </c>
      <c r="E240" s="62">
        <f>E239*(1+INDEX(Settings!$E$13:$E$16,MATCH(C240,Settings!$A$13:$A$16,0)))+D240</f>
        <v/>
      </c>
      <c r="F240" s="62">
        <f>F239*(1+INDEX(Settings!$I$13:$I$16,MATCH(C240,Settings!$A$13:$A$16,0)))+D240</f>
        <v/>
      </c>
      <c r="G240" s="62">
        <f>G239*(1+INDEX(Settings!$J$13:$J$16,MATCH(C240,Settings!$A$13:$A$16,0)))+D240</f>
        <v/>
      </c>
    </row>
    <row r="241">
      <c r="A241" s="45" t="n">
        <v>237</v>
      </c>
      <c r="B241" s="67">
        <f>Dashboard!$C$5+(237-1)/12</f>
        <v/>
      </c>
      <c r="C241" s="27">
        <f>INDEX(Dashboard!$C$14:$C$21,MIN(8,INT((237-1)/60)+1))</f>
        <v/>
      </c>
      <c r="D241" s="62">
        <f>MIN(Dashboard!$C$9,INDEX(Settings!$B$19:$B$58,MIN(40,INT((237-1)/12)+1)))</f>
        <v/>
      </c>
      <c r="E241" s="62">
        <f>E240*(1+INDEX(Settings!$E$13:$E$16,MATCH(C241,Settings!$A$13:$A$16,0)))+D241</f>
        <v/>
      </c>
      <c r="F241" s="62">
        <f>F240*(1+INDEX(Settings!$I$13:$I$16,MATCH(C241,Settings!$A$13:$A$16,0)))+D241</f>
        <v/>
      </c>
      <c r="G241" s="62">
        <f>G240*(1+INDEX(Settings!$J$13:$J$16,MATCH(C241,Settings!$A$13:$A$16,0)))+D241</f>
        <v/>
      </c>
    </row>
    <row r="242">
      <c r="A242" s="45" t="n">
        <v>238</v>
      </c>
      <c r="B242" s="67">
        <f>Dashboard!$C$5+(238-1)/12</f>
        <v/>
      </c>
      <c r="C242" s="27">
        <f>INDEX(Dashboard!$C$14:$C$21,MIN(8,INT((238-1)/60)+1))</f>
        <v/>
      </c>
      <c r="D242" s="62">
        <f>MIN(Dashboard!$C$9,INDEX(Settings!$B$19:$B$58,MIN(40,INT((238-1)/12)+1)))</f>
        <v/>
      </c>
      <c r="E242" s="62">
        <f>E241*(1+INDEX(Settings!$E$13:$E$16,MATCH(C242,Settings!$A$13:$A$16,0)))+D242</f>
        <v/>
      </c>
      <c r="F242" s="62">
        <f>F241*(1+INDEX(Settings!$I$13:$I$16,MATCH(C242,Settings!$A$13:$A$16,0)))+D242</f>
        <v/>
      </c>
      <c r="G242" s="62">
        <f>G241*(1+INDEX(Settings!$J$13:$J$16,MATCH(C242,Settings!$A$13:$A$16,0)))+D242</f>
        <v/>
      </c>
    </row>
    <row r="243">
      <c r="A243" s="45" t="n">
        <v>239</v>
      </c>
      <c r="B243" s="67">
        <f>Dashboard!$C$5+(239-1)/12</f>
        <v/>
      </c>
      <c r="C243" s="27">
        <f>INDEX(Dashboard!$C$14:$C$21,MIN(8,INT((239-1)/60)+1))</f>
        <v/>
      </c>
      <c r="D243" s="62">
        <f>MIN(Dashboard!$C$9,INDEX(Settings!$B$19:$B$58,MIN(40,INT((239-1)/12)+1)))</f>
        <v/>
      </c>
      <c r="E243" s="62">
        <f>E242*(1+INDEX(Settings!$E$13:$E$16,MATCH(C243,Settings!$A$13:$A$16,0)))+D243</f>
        <v/>
      </c>
      <c r="F243" s="62">
        <f>F242*(1+INDEX(Settings!$I$13:$I$16,MATCH(C243,Settings!$A$13:$A$16,0)))+D243</f>
        <v/>
      </c>
      <c r="G243" s="62">
        <f>G242*(1+INDEX(Settings!$J$13:$J$16,MATCH(C243,Settings!$A$13:$A$16,0)))+D243</f>
        <v/>
      </c>
    </row>
    <row r="244">
      <c r="A244" s="45" t="n">
        <v>240</v>
      </c>
      <c r="B244" s="67">
        <f>Dashboard!$C$5+(240-1)/12</f>
        <v/>
      </c>
      <c r="C244" s="27">
        <f>INDEX(Dashboard!$C$14:$C$21,MIN(8,INT((240-1)/60)+1))</f>
        <v/>
      </c>
      <c r="D244" s="62">
        <f>MIN(Dashboard!$C$9,INDEX(Settings!$B$19:$B$58,MIN(40,INT((240-1)/12)+1)))</f>
        <v/>
      </c>
      <c r="E244" s="62">
        <f>E243*(1+INDEX(Settings!$E$13:$E$16,MATCH(C244,Settings!$A$13:$A$16,0)))+D244</f>
        <v/>
      </c>
      <c r="F244" s="62">
        <f>F243*(1+INDEX(Settings!$I$13:$I$16,MATCH(C244,Settings!$A$13:$A$16,0)))+D244</f>
        <v/>
      </c>
      <c r="G244" s="62">
        <f>G243*(1+INDEX(Settings!$J$13:$J$16,MATCH(C244,Settings!$A$13:$A$16,0)))+D244</f>
        <v/>
      </c>
    </row>
    <row r="245">
      <c r="A245" s="45" t="n">
        <v>241</v>
      </c>
      <c r="B245" s="67">
        <f>Dashboard!$C$5+(241-1)/12</f>
        <v/>
      </c>
      <c r="C245" s="27">
        <f>INDEX(Dashboard!$C$14:$C$21,MIN(8,INT((241-1)/60)+1))</f>
        <v/>
      </c>
      <c r="D245" s="62">
        <f>MIN(Dashboard!$C$9,INDEX(Settings!$B$19:$B$58,MIN(40,INT((241-1)/12)+1)))</f>
        <v/>
      </c>
      <c r="E245" s="62">
        <f>E244*(1+INDEX(Settings!$E$13:$E$16,MATCH(C245,Settings!$A$13:$A$16,0)))+D245</f>
        <v/>
      </c>
      <c r="F245" s="62">
        <f>F244*(1+INDEX(Settings!$I$13:$I$16,MATCH(C245,Settings!$A$13:$A$16,0)))+D245</f>
        <v/>
      </c>
      <c r="G245" s="62">
        <f>G244*(1+INDEX(Settings!$J$13:$J$16,MATCH(C245,Settings!$A$13:$A$16,0)))+D245</f>
        <v/>
      </c>
    </row>
    <row r="246">
      <c r="A246" s="45" t="n">
        <v>242</v>
      </c>
      <c r="B246" s="67">
        <f>Dashboard!$C$5+(242-1)/12</f>
        <v/>
      </c>
      <c r="C246" s="27">
        <f>INDEX(Dashboard!$C$14:$C$21,MIN(8,INT((242-1)/60)+1))</f>
        <v/>
      </c>
      <c r="D246" s="62">
        <f>MIN(Dashboard!$C$9,INDEX(Settings!$B$19:$B$58,MIN(40,INT((242-1)/12)+1)))</f>
        <v/>
      </c>
      <c r="E246" s="62">
        <f>E245*(1+INDEX(Settings!$E$13:$E$16,MATCH(C246,Settings!$A$13:$A$16,0)))+D246</f>
        <v/>
      </c>
      <c r="F246" s="62">
        <f>F245*(1+INDEX(Settings!$I$13:$I$16,MATCH(C246,Settings!$A$13:$A$16,0)))+D246</f>
        <v/>
      </c>
      <c r="G246" s="62">
        <f>G245*(1+INDEX(Settings!$J$13:$J$16,MATCH(C246,Settings!$A$13:$A$16,0)))+D246</f>
        <v/>
      </c>
    </row>
    <row r="247">
      <c r="A247" s="45" t="n">
        <v>243</v>
      </c>
      <c r="B247" s="67">
        <f>Dashboard!$C$5+(243-1)/12</f>
        <v/>
      </c>
      <c r="C247" s="27">
        <f>INDEX(Dashboard!$C$14:$C$21,MIN(8,INT((243-1)/60)+1))</f>
        <v/>
      </c>
      <c r="D247" s="62">
        <f>MIN(Dashboard!$C$9,INDEX(Settings!$B$19:$B$58,MIN(40,INT((243-1)/12)+1)))</f>
        <v/>
      </c>
      <c r="E247" s="62">
        <f>E246*(1+INDEX(Settings!$E$13:$E$16,MATCH(C247,Settings!$A$13:$A$16,0)))+D247</f>
        <v/>
      </c>
      <c r="F247" s="62">
        <f>F246*(1+INDEX(Settings!$I$13:$I$16,MATCH(C247,Settings!$A$13:$A$16,0)))+D247</f>
        <v/>
      </c>
      <c r="G247" s="62">
        <f>G246*(1+INDEX(Settings!$J$13:$J$16,MATCH(C247,Settings!$A$13:$A$16,0)))+D247</f>
        <v/>
      </c>
    </row>
    <row r="248">
      <c r="A248" s="45" t="n">
        <v>244</v>
      </c>
      <c r="B248" s="67">
        <f>Dashboard!$C$5+(244-1)/12</f>
        <v/>
      </c>
      <c r="C248" s="27">
        <f>INDEX(Dashboard!$C$14:$C$21,MIN(8,INT((244-1)/60)+1))</f>
        <v/>
      </c>
      <c r="D248" s="62">
        <f>MIN(Dashboard!$C$9,INDEX(Settings!$B$19:$B$58,MIN(40,INT((244-1)/12)+1)))</f>
        <v/>
      </c>
      <c r="E248" s="62">
        <f>E247*(1+INDEX(Settings!$E$13:$E$16,MATCH(C248,Settings!$A$13:$A$16,0)))+D248</f>
        <v/>
      </c>
      <c r="F248" s="62">
        <f>F247*(1+INDEX(Settings!$I$13:$I$16,MATCH(C248,Settings!$A$13:$A$16,0)))+D248</f>
        <v/>
      </c>
      <c r="G248" s="62">
        <f>G247*(1+INDEX(Settings!$J$13:$J$16,MATCH(C248,Settings!$A$13:$A$16,0)))+D248</f>
        <v/>
      </c>
    </row>
    <row r="249">
      <c r="A249" s="45" t="n">
        <v>245</v>
      </c>
      <c r="B249" s="67">
        <f>Dashboard!$C$5+(245-1)/12</f>
        <v/>
      </c>
      <c r="C249" s="27">
        <f>INDEX(Dashboard!$C$14:$C$21,MIN(8,INT((245-1)/60)+1))</f>
        <v/>
      </c>
      <c r="D249" s="62">
        <f>MIN(Dashboard!$C$9,INDEX(Settings!$B$19:$B$58,MIN(40,INT((245-1)/12)+1)))</f>
        <v/>
      </c>
      <c r="E249" s="62">
        <f>E248*(1+INDEX(Settings!$E$13:$E$16,MATCH(C249,Settings!$A$13:$A$16,0)))+D249</f>
        <v/>
      </c>
      <c r="F249" s="62">
        <f>F248*(1+INDEX(Settings!$I$13:$I$16,MATCH(C249,Settings!$A$13:$A$16,0)))+D249</f>
        <v/>
      </c>
      <c r="G249" s="62">
        <f>G248*(1+INDEX(Settings!$J$13:$J$16,MATCH(C249,Settings!$A$13:$A$16,0)))+D249</f>
        <v/>
      </c>
    </row>
    <row r="250">
      <c r="A250" s="45" t="n">
        <v>246</v>
      </c>
      <c r="B250" s="67">
        <f>Dashboard!$C$5+(246-1)/12</f>
        <v/>
      </c>
      <c r="C250" s="27">
        <f>INDEX(Dashboard!$C$14:$C$21,MIN(8,INT((246-1)/60)+1))</f>
        <v/>
      </c>
      <c r="D250" s="62">
        <f>MIN(Dashboard!$C$9,INDEX(Settings!$B$19:$B$58,MIN(40,INT((246-1)/12)+1)))</f>
        <v/>
      </c>
      <c r="E250" s="62">
        <f>E249*(1+INDEX(Settings!$E$13:$E$16,MATCH(C250,Settings!$A$13:$A$16,0)))+D250</f>
        <v/>
      </c>
      <c r="F250" s="62">
        <f>F249*(1+INDEX(Settings!$I$13:$I$16,MATCH(C250,Settings!$A$13:$A$16,0)))+D250</f>
        <v/>
      </c>
      <c r="G250" s="62">
        <f>G249*(1+INDEX(Settings!$J$13:$J$16,MATCH(C250,Settings!$A$13:$A$16,0)))+D250</f>
        <v/>
      </c>
    </row>
    <row r="251">
      <c r="A251" s="45" t="n">
        <v>247</v>
      </c>
      <c r="B251" s="67">
        <f>Dashboard!$C$5+(247-1)/12</f>
        <v/>
      </c>
      <c r="C251" s="27">
        <f>INDEX(Dashboard!$C$14:$C$21,MIN(8,INT((247-1)/60)+1))</f>
        <v/>
      </c>
      <c r="D251" s="62">
        <f>MIN(Dashboard!$C$9,INDEX(Settings!$B$19:$B$58,MIN(40,INT((247-1)/12)+1)))</f>
        <v/>
      </c>
      <c r="E251" s="62">
        <f>E250*(1+INDEX(Settings!$E$13:$E$16,MATCH(C251,Settings!$A$13:$A$16,0)))+D251</f>
        <v/>
      </c>
      <c r="F251" s="62">
        <f>F250*(1+INDEX(Settings!$I$13:$I$16,MATCH(C251,Settings!$A$13:$A$16,0)))+D251</f>
        <v/>
      </c>
      <c r="G251" s="62">
        <f>G250*(1+INDEX(Settings!$J$13:$J$16,MATCH(C251,Settings!$A$13:$A$16,0)))+D251</f>
        <v/>
      </c>
    </row>
    <row r="252">
      <c r="A252" s="45" t="n">
        <v>248</v>
      </c>
      <c r="B252" s="67">
        <f>Dashboard!$C$5+(248-1)/12</f>
        <v/>
      </c>
      <c r="C252" s="27">
        <f>INDEX(Dashboard!$C$14:$C$21,MIN(8,INT((248-1)/60)+1))</f>
        <v/>
      </c>
      <c r="D252" s="62">
        <f>MIN(Dashboard!$C$9,INDEX(Settings!$B$19:$B$58,MIN(40,INT((248-1)/12)+1)))</f>
        <v/>
      </c>
      <c r="E252" s="62">
        <f>E251*(1+INDEX(Settings!$E$13:$E$16,MATCH(C252,Settings!$A$13:$A$16,0)))+D252</f>
        <v/>
      </c>
      <c r="F252" s="62">
        <f>F251*(1+INDEX(Settings!$I$13:$I$16,MATCH(C252,Settings!$A$13:$A$16,0)))+D252</f>
        <v/>
      </c>
      <c r="G252" s="62">
        <f>G251*(1+INDEX(Settings!$J$13:$J$16,MATCH(C252,Settings!$A$13:$A$16,0)))+D252</f>
        <v/>
      </c>
    </row>
    <row r="253">
      <c r="A253" s="45" t="n">
        <v>249</v>
      </c>
      <c r="B253" s="67">
        <f>Dashboard!$C$5+(249-1)/12</f>
        <v/>
      </c>
      <c r="C253" s="27">
        <f>INDEX(Dashboard!$C$14:$C$21,MIN(8,INT((249-1)/60)+1))</f>
        <v/>
      </c>
      <c r="D253" s="62">
        <f>MIN(Dashboard!$C$9,INDEX(Settings!$B$19:$B$58,MIN(40,INT((249-1)/12)+1)))</f>
        <v/>
      </c>
      <c r="E253" s="62">
        <f>E252*(1+INDEX(Settings!$E$13:$E$16,MATCH(C253,Settings!$A$13:$A$16,0)))+D253</f>
        <v/>
      </c>
      <c r="F253" s="62">
        <f>F252*(1+INDEX(Settings!$I$13:$I$16,MATCH(C253,Settings!$A$13:$A$16,0)))+D253</f>
        <v/>
      </c>
      <c r="G253" s="62">
        <f>G252*(1+INDEX(Settings!$J$13:$J$16,MATCH(C253,Settings!$A$13:$A$16,0)))+D253</f>
        <v/>
      </c>
    </row>
    <row r="254">
      <c r="A254" s="45" t="n">
        <v>250</v>
      </c>
      <c r="B254" s="67">
        <f>Dashboard!$C$5+(250-1)/12</f>
        <v/>
      </c>
      <c r="C254" s="27">
        <f>INDEX(Dashboard!$C$14:$C$21,MIN(8,INT((250-1)/60)+1))</f>
        <v/>
      </c>
      <c r="D254" s="62">
        <f>MIN(Dashboard!$C$9,INDEX(Settings!$B$19:$B$58,MIN(40,INT((250-1)/12)+1)))</f>
        <v/>
      </c>
      <c r="E254" s="62">
        <f>E253*(1+INDEX(Settings!$E$13:$E$16,MATCH(C254,Settings!$A$13:$A$16,0)))+D254</f>
        <v/>
      </c>
      <c r="F254" s="62">
        <f>F253*(1+INDEX(Settings!$I$13:$I$16,MATCH(C254,Settings!$A$13:$A$16,0)))+D254</f>
        <v/>
      </c>
      <c r="G254" s="62">
        <f>G253*(1+INDEX(Settings!$J$13:$J$16,MATCH(C254,Settings!$A$13:$A$16,0)))+D254</f>
        <v/>
      </c>
    </row>
    <row r="255">
      <c r="A255" s="45" t="n">
        <v>251</v>
      </c>
      <c r="B255" s="67">
        <f>Dashboard!$C$5+(251-1)/12</f>
        <v/>
      </c>
      <c r="C255" s="27">
        <f>INDEX(Dashboard!$C$14:$C$21,MIN(8,INT((251-1)/60)+1))</f>
        <v/>
      </c>
      <c r="D255" s="62">
        <f>MIN(Dashboard!$C$9,INDEX(Settings!$B$19:$B$58,MIN(40,INT((251-1)/12)+1)))</f>
        <v/>
      </c>
      <c r="E255" s="62">
        <f>E254*(1+INDEX(Settings!$E$13:$E$16,MATCH(C255,Settings!$A$13:$A$16,0)))+D255</f>
        <v/>
      </c>
      <c r="F255" s="62">
        <f>F254*(1+INDEX(Settings!$I$13:$I$16,MATCH(C255,Settings!$A$13:$A$16,0)))+D255</f>
        <v/>
      </c>
      <c r="G255" s="62">
        <f>G254*(1+INDEX(Settings!$J$13:$J$16,MATCH(C255,Settings!$A$13:$A$16,0)))+D255</f>
        <v/>
      </c>
    </row>
    <row r="256">
      <c r="A256" s="45" t="n">
        <v>252</v>
      </c>
      <c r="B256" s="67">
        <f>Dashboard!$C$5+(252-1)/12</f>
        <v/>
      </c>
      <c r="C256" s="27">
        <f>INDEX(Dashboard!$C$14:$C$21,MIN(8,INT((252-1)/60)+1))</f>
        <v/>
      </c>
      <c r="D256" s="62">
        <f>MIN(Dashboard!$C$9,INDEX(Settings!$B$19:$B$58,MIN(40,INT((252-1)/12)+1)))</f>
        <v/>
      </c>
      <c r="E256" s="62">
        <f>E255*(1+INDEX(Settings!$E$13:$E$16,MATCH(C256,Settings!$A$13:$A$16,0)))+D256</f>
        <v/>
      </c>
      <c r="F256" s="62">
        <f>F255*(1+INDEX(Settings!$I$13:$I$16,MATCH(C256,Settings!$A$13:$A$16,0)))+D256</f>
        <v/>
      </c>
      <c r="G256" s="62">
        <f>G255*(1+INDEX(Settings!$J$13:$J$16,MATCH(C256,Settings!$A$13:$A$16,0)))+D256</f>
        <v/>
      </c>
    </row>
    <row r="257">
      <c r="A257" s="45" t="n">
        <v>253</v>
      </c>
      <c r="B257" s="67">
        <f>Dashboard!$C$5+(253-1)/12</f>
        <v/>
      </c>
      <c r="C257" s="27">
        <f>INDEX(Dashboard!$C$14:$C$21,MIN(8,INT((253-1)/60)+1))</f>
        <v/>
      </c>
      <c r="D257" s="62">
        <f>MIN(Dashboard!$C$9,INDEX(Settings!$B$19:$B$58,MIN(40,INT((253-1)/12)+1)))</f>
        <v/>
      </c>
      <c r="E257" s="62">
        <f>E256*(1+INDEX(Settings!$E$13:$E$16,MATCH(C257,Settings!$A$13:$A$16,0)))+D257</f>
        <v/>
      </c>
      <c r="F257" s="62">
        <f>F256*(1+INDEX(Settings!$I$13:$I$16,MATCH(C257,Settings!$A$13:$A$16,0)))+D257</f>
        <v/>
      </c>
      <c r="G257" s="62">
        <f>G256*(1+INDEX(Settings!$J$13:$J$16,MATCH(C257,Settings!$A$13:$A$16,0)))+D257</f>
        <v/>
      </c>
    </row>
    <row r="258">
      <c r="A258" s="45" t="n">
        <v>254</v>
      </c>
      <c r="B258" s="67">
        <f>Dashboard!$C$5+(254-1)/12</f>
        <v/>
      </c>
      <c r="C258" s="27">
        <f>INDEX(Dashboard!$C$14:$C$21,MIN(8,INT((254-1)/60)+1))</f>
        <v/>
      </c>
      <c r="D258" s="62">
        <f>MIN(Dashboard!$C$9,INDEX(Settings!$B$19:$B$58,MIN(40,INT((254-1)/12)+1)))</f>
        <v/>
      </c>
      <c r="E258" s="62">
        <f>E257*(1+INDEX(Settings!$E$13:$E$16,MATCH(C258,Settings!$A$13:$A$16,0)))+D258</f>
        <v/>
      </c>
      <c r="F258" s="62">
        <f>F257*(1+INDEX(Settings!$I$13:$I$16,MATCH(C258,Settings!$A$13:$A$16,0)))+D258</f>
        <v/>
      </c>
      <c r="G258" s="62">
        <f>G257*(1+INDEX(Settings!$J$13:$J$16,MATCH(C258,Settings!$A$13:$A$16,0)))+D258</f>
        <v/>
      </c>
    </row>
    <row r="259">
      <c r="A259" s="45" t="n">
        <v>255</v>
      </c>
      <c r="B259" s="67">
        <f>Dashboard!$C$5+(255-1)/12</f>
        <v/>
      </c>
      <c r="C259" s="27">
        <f>INDEX(Dashboard!$C$14:$C$21,MIN(8,INT((255-1)/60)+1))</f>
        <v/>
      </c>
      <c r="D259" s="62">
        <f>MIN(Dashboard!$C$9,INDEX(Settings!$B$19:$B$58,MIN(40,INT((255-1)/12)+1)))</f>
        <v/>
      </c>
      <c r="E259" s="62">
        <f>E258*(1+INDEX(Settings!$E$13:$E$16,MATCH(C259,Settings!$A$13:$A$16,0)))+D259</f>
        <v/>
      </c>
      <c r="F259" s="62">
        <f>F258*(1+INDEX(Settings!$I$13:$I$16,MATCH(C259,Settings!$A$13:$A$16,0)))+D259</f>
        <v/>
      </c>
      <c r="G259" s="62">
        <f>G258*(1+INDEX(Settings!$J$13:$J$16,MATCH(C259,Settings!$A$13:$A$16,0)))+D259</f>
        <v/>
      </c>
    </row>
    <row r="260">
      <c r="A260" s="45" t="n">
        <v>256</v>
      </c>
      <c r="B260" s="67">
        <f>Dashboard!$C$5+(256-1)/12</f>
        <v/>
      </c>
      <c r="C260" s="27">
        <f>INDEX(Dashboard!$C$14:$C$21,MIN(8,INT((256-1)/60)+1))</f>
        <v/>
      </c>
      <c r="D260" s="62">
        <f>MIN(Dashboard!$C$9,INDEX(Settings!$B$19:$B$58,MIN(40,INT((256-1)/12)+1)))</f>
        <v/>
      </c>
      <c r="E260" s="62">
        <f>E259*(1+INDEX(Settings!$E$13:$E$16,MATCH(C260,Settings!$A$13:$A$16,0)))+D260</f>
        <v/>
      </c>
      <c r="F260" s="62">
        <f>F259*(1+INDEX(Settings!$I$13:$I$16,MATCH(C260,Settings!$A$13:$A$16,0)))+D260</f>
        <v/>
      </c>
      <c r="G260" s="62">
        <f>G259*(1+INDEX(Settings!$J$13:$J$16,MATCH(C260,Settings!$A$13:$A$16,0)))+D260</f>
        <v/>
      </c>
    </row>
    <row r="261">
      <c r="A261" s="45" t="n">
        <v>257</v>
      </c>
      <c r="B261" s="67">
        <f>Dashboard!$C$5+(257-1)/12</f>
        <v/>
      </c>
      <c r="C261" s="27">
        <f>INDEX(Dashboard!$C$14:$C$21,MIN(8,INT((257-1)/60)+1))</f>
        <v/>
      </c>
      <c r="D261" s="62">
        <f>MIN(Dashboard!$C$9,INDEX(Settings!$B$19:$B$58,MIN(40,INT((257-1)/12)+1)))</f>
        <v/>
      </c>
      <c r="E261" s="62">
        <f>E260*(1+INDEX(Settings!$E$13:$E$16,MATCH(C261,Settings!$A$13:$A$16,0)))+D261</f>
        <v/>
      </c>
      <c r="F261" s="62">
        <f>F260*(1+INDEX(Settings!$I$13:$I$16,MATCH(C261,Settings!$A$13:$A$16,0)))+D261</f>
        <v/>
      </c>
      <c r="G261" s="62">
        <f>G260*(1+INDEX(Settings!$J$13:$J$16,MATCH(C261,Settings!$A$13:$A$16,0)))+D261</f>
        <v/>
      </c>
    </row>
    <row r="262">
      <c r="A262" s="45" t="n">
        <v>258</v>
      </c>
      <c r="B262" s="67">
        <f>Dashboard!$C$5+(258-1)/12</f>
        <v/>
      </c>
      <c r="C262" s="27">
        <f>INDEX(Dashboard!$C$14:$C$21,MIN(8,INT((258-1)/60)+1))</f>
        <v/>
      </c>
      <c r="D262" s="62">
        <f>MIN(Dashboard!$C$9,INDEX(Settings!$B$19:$B$58,MIN(40,INT((258-1)/12)+1)))</f>
        <v/>
      </c>
      <c r="E262" s="62">
        <f>E261*(1+INDEX(Settings!$E$13:$E$16,MATCH(C262,Settings!$A$13:$A$16,0)))+D262</f>
        <v/>
      </c>
      <c r="F262" s="62">
        <f>F261*(1+INDEX(Settings!$I$13:$I$16,MATCH(C262,Settings!$A$13:$A$16,0)))+D262</f>
        <v/>
      </c>
      <c r="G262" s="62">
        <f>G261*(1+INDEX(Settings!$J$13:$J$16,MATCH(C262,Settings!$A$13:$A$16,0)))+D262</f>
        <v/>
      </c>
    </row>
    <row r="263">
      <c r="A263" s="45" t="n">
        <v>259</v>
      </c>
      <c r="B263" s="67">
        <f>Dashboard!$C$5+(259-1)/12</f>
        <v/>
      </c>
      <c r="C263" s="27">
        <f>INDEX(Dashboard!$C$14:$C$21,MIN(8,INT((259-1)/60)+1))</f>
        <v/>
      </c>
      <c r="D263" s="62">
        <f>MIN(Dashboard!$C$9,INDEX(Settings!$B$19:$B$58,MIN(40,INT((259-1)/12)+1)))</f>
        <v/>
      </c>
      <c r="E263" s="62">
        <f>E262*(1+INDEX(Settings!$E$13:$E$16,MATCH(C263,Settings!$A$13:$A$16,0)))+D263</f>
        <v/>
      </c>
      <c r="F263" s="62">
        <f>F262*(1+INDEX(Settings!$I$13:$I$16,MATCH(C263,Settings!$A$13:$A$16,0)))+D263</f>
        <v/>
      </c>
      <c r="G263" s="62">
        <f>G262*(1+INDEX(Settings!$J$13:$J$16,MATCH(C263,Settings!$A$13:$A$16,0)))+D263</f>
        <v/>
      </c>
    </row>
    <row r="264">
      <c r="A264" s="45" t="n">
        <v>260</v>
      </c>
      <c r="B264" s="67">
        <f>Dashboard!$C$5+(260-1)/12</f>
        <v/>
      </c>
      <c r="C264" s="27">
        <f>INDEX(Dashboard!$C$14:$C$21,MIN(8,INT((260-1)/60)+1))</f>
        <v/>
      </c>
      <c r="D264" s="62">
        <f>MIN(Dashboard!$C$9,INDEX(Settings!$B$19:$B$58,MIN(40,INT((260-1)/12)+1)))</f>
        <v/>
      </c>
      <c r="E264" s="62">
        <f>E263*(1+INDEX(Settings!$E$13:$E$16,MATCH(C264,Settings!$A$13:$A$16,0)))+D264</f>
        <v/>
      </c>
      <c r="F264" s="62">
        <f>F263*(1+INDEX(Settings!$I$13:$I$16,MATCH(C264,Settings!$A$13:$A$16,0)))+D264</f>
        <v/>
      </c>
      <c r="G264" s="62">
        <f>G263*(1+INDEX(Settings!$J$13:$J$16,MATCH(C264,Settings!$A$13:$A$16,0)))+D264</f>
        <v/>
      </c>
    </row>
    <row r="265">
      <c r="A265" s="45" t="n">
        <v>261</v>
      </c>
      <c r="B265" s="67">
        <f>Dashboard!$C$5+(261-1)/12</f>
        <v/>
      </c>
      <c r="C265" s="27">
        <f>INDEX(Dashboard!$C$14:$C$21,MIN(8,INT((261-1)/60)+1))</f>
        <v/>
      </c>
      <c r="D265" s="62">
        <f>MIN(Dashboard!$C$9,INDEX(Settings!$B$19:$B$58,MIN(40,INT((261-1)/12)+1)))</f>
        <v/>
      </c>
      <c r="E265" s="62">
        <f>E264*(1+INDEX(Settings!$E$13:$E$16,MATCH(C265,Settings!$A$13:$A$16,0)))+D265</f>
        <v/>
      </c>
      <c r="F265" s="62">
        <f>F264*(1+INDEX(Settings!$I$13:$I$16,MATCH(C265,Settings!$A$13:$A$16,0)))+D265</f>
        <v/>
      </c>
      <c r="G265" s="62">
        <f>G264*(1+INDEX(Settings!$J$13:$J$16,MATCH(C265,Settings!$A$13:$A$16,0)))+D265</f>
        <v/>
      </c>
    </row>
    <row r="266">
      <c r="A266" s="45" t="n">
        <v>262</v>
      </c>
      <c r="B266" s="67">
        <f>Dashboard!$C$5+(262-1)/12</f>
        <v/>
      </c>
      <c r="C266" s="27">
        <f>INDEX(Dashboard!$C$14:$C$21,MIN(8,INT((262-1)/60)+1))</f>
        <v/>
      </c>
      <c r="D266" s="62">
        <f>MIN(Dashboard!$C$9,INDEX(Settings!$B$19:$B$58,MIN(40,INT((262-1)/12)+1)))</f>
        <v/>
      </c>
      <c r="E266" s="62">
        <f>E265*(1+INDEX(Settings!$E$13:$E$16,MATCH(C266,Settings!$A$13:$A$16,0)))+D266</f>
        <v/>
      </c>
      <c r="F266" s="62">
        <f>F265*(1+INDEX(Settings!$I$13:$I$16,MATCH(C266,Settings!$A$13:$A$16,0)))+D266</f>
        <v/>
      </c>
      <c r="G266" s="62">
        <f>G265*(1+INDEX(Settings!$J$13:$J$16,MATCH(C266,Settings!$A$13:$A$16,0)))+D266</f>
        <v/>
      </c>
    </row>
    <row r="267">
      <c r="A267" s="45" t="n">
        <v>263</v>
      </c>
      <c r="B267" s="67">
        <f>Dashboard!$C$5+(263-1)/12</f>
        <v/>
      </c>
      <c r="C267" s="27">
        <f>INDEX(Dashboard!$C$14:$C$21,MIN(8,INT((263-1)/60)+1))</f>
        <v/>
      </c>
      <c r="D267" s="62">
        <f>MIN(Dashboard!$C$9,INDEX(Settings!$B$19:$B$58,MIN(40,INT((263-1)/12)+1)))</f>
        <v/>
      </c>
      <c r="E267" s="62">
        <f>E266*(1+INDEX(Settings!$E$13:$E$16,MATCH(C267,Settings!$A$13:$A$16,0)))+D267</f>
        <v/>
      </c>
      <c r="F267" s="62">
        <f>F266*(1+INDEX(Settings!$I$13:$I$16,MATCH(C267,Settings!$A$13:$A$16,0)))+D267</f>
        <v/>
      </c>
      <c r="G267" s="62">
        <f>G266*(1+INDEX(Settings!$J$13:$J$16,MATCH(C267,Settings!$A$13:$A$16,0)))+D267</f>
        <v/>
      </c>
    </row>
    <row r="268">
      <c r="A268" s="45" t="n">
        <v>264</v>
      </c>
      <c r="B268" s="67">
        <f>Dashboard!$C$5+(264-1)/12</f>
        <v/>
      </c>
      <c r="C268" s="27">
        <f>INDEX(Dashboard!$C$14:$C$21,MIN(8,INT((264-1)/60)+1))</f>
        <v/>
      </c>
      <c r="D268" s="62">
        <f>MIN(Dashboard!$C$9,INDEX(Settings!$B$19:$B$58,MIN(40,INT((264-1)/12)+1)))</f>
        <v/>
      </c>
      <c r="E268" s="62">
        <f>E267*(1+INDEX(Settings!$E$13:$E$16,MATCH(C268,Settings!$A$13:$A$16,0)))+D268</f>
        <v/>
      </c>
      <c r="F268" s="62">
        <f>F267*(1+INDEX(Settings!$I$13:$I$16,MATCH(C268,Settings!$A$13:$A$16,0)))+D268</f>
        <v/>
      </c>
      <c r="G268" s="62">
        <f>G267*(1+INDEX(Settings!$J$13:$J$16,MATCH(C268,Settings!$A$13:$A$16,0)))+D268</f>
        <v/>
      </c>
    </row>
    <row r="269">
      <c r="A269" s="45" t="n">
        <v>265</v>
      </c>
      <c r="B269" s="67">
        <f>Dashboard!$C$5+(265-1)/12</f>
        <v/>
      </c>
      <c r="C269" s="27">
        <f>INDEX(Dashboard!$C$14:$C$21,MIN(8,INT((265-1)/60)+1))</f>
        <v/>
      </c>
      <c r="D269" s="62">
        <f>MIN(Dashboard!$C$9,INDEX(Settings!$B$19:$B$58,MIN(40,INT((265-1)/12)+1)))</f>
        <v/>
      </c>
      <c r="E269" s="62">
        <f>E268*(1+INDEX(Settings!$E$13:$E$16,MATCH(C269,Settings!$A$13:$A$16,0)))+D269</f>
        <v/>
      </c>
      <c r="F269" s="62">
        <f>F268*(1+INDEX(Settings!$I$13:$I$16,MATCH(C269,Settings!$A$13:$A$16,0)))+D269</f>
        <v/>
      </c>
      <c r="G269" s="62">
        <f>G268*(1+INDEX(Settings!$J$13:$J$16,MATCH(C269,Settings!$A$13:$A$16,0)))+D269</f>
        <v/>
      </c>
    </row>
    <row r="270">
      <c r="A270" s="45" t="n">
        <v>266</v>
      </c>
      <c r="B270" s="67">
        <f>Dashboard!$C$5+(266-1)/12</f>
        <v/>
      </c>
      <c r="C270" s="27">
        <f>INDEX(Dashboard!$C$14:$C$21,MIN(8,INT((266-1)/60)+1))</f>
        <v/>
      </c>
      <c r="D270" s="62">
        <f>MIN(Dashboard!$C$9,INDEX(Settings!$B$19:$B$58,MIN(40,INT((266-1)/12)+1)))</f>
        <v/>
      </c>
      <c r="E270" s="62">
        <f>E269*(1+INDEX(Settings!$E$13:$E$16,MATCH(C270,Settings!$A$13:$A$16,0)))+D270</f>
        <v/>
      </c>
      <c r="F270" s="62">
        <f>F269*(1+INDEX(Settings!$I$13:$I$16,MATCH(C270,Settings!$A$13:$A$16,0)))+D270</f>
        <v/>
      </c>
      <c r="G270" s="62">
        <f>G269*(1+INDEX(Settings!$J$13:$J$16,MATCH(C270,Settings!$A$13:$A$16,0)))+D270</f>
        <v/>
      </c>
    </row>
    <row r="271">
      <c r="A271" s="45" t="n">
        <v>267</v>
      </c>
      <c r="B271" s="67">
        <f>Dashboard!$C$5+(267-1)/12</f>
        <v/>
      </c>
      <c r="C271" s="27">
        <f>INDEX(Dashboard!$C$14:$C$21,MIN(8,INT((267-1)/60)+1))</f>
        <v/>
      </c>
      <c r="D271" s="62">
        <f>MIN(Dashboard!$C$9,INDEX(Settings!$B$19:$B$58,MIN(40,INT((267-1)/12)+1)))</f>
        <v/>
      </c>
      <c r="E271" s="62">
        <f>E270*(1+INDEX(Settings!$E$13:$E$16,MATCH(C271,Settings!$A$13:$A$16,0)))+D271</f>
        <v/>
      </c>
      <c r="F271" s="62">
        <f>F270*(1+INDEX(Settings!$I$13:$I$16,MATCH(C271,Settings!$A$13:$A$16,0)))+D271</f>
        <v/>
      </c>
      <c r="G271" s="62">
        <f>G270*(1+INDEX(Settings!$J$13:$J$16,MATCH(C271,Settings!$A$13:$A$16,0)))+D271</f>
        <v/>
      </c>
    </row>
    <row r="272">
      <c r="A272" s="45" t="n">
        <v>268</v>
      </c>
      <c r="B272" s="67">
        <f>Dashboard!$C$5+(268-1)/12</f>
        <v/>
      </c>
      <c r="C272" s="27">
        <f>INDEX(Dashboard!$C$14:$C$21,MIN(8,INT((268-1)/60)+1))</f>
        <v/>
      </c>
      <c r="D272" s="62">
        <f>MIN(Dashboard!$C$9,INDEX(Settings!$B$19:$B$58,MIN(40,INT((268-1)/12)+1)))</f>
        <v/>
      </c>
      <c r="E272" s="62">
        <f>E271*(1+INDEX(Settings!$E$13:$E$16,MATCH(C272,Settings!$A$13:$A$16,0)))+D272</f>
        <v/>
      </c>
      <c r="F272" s="62">
        <f>F271*(1+INDEX(Settings!$I$13:$I$16,MATCH(C272,Settings!$A$13:$A$16,0)))+D272</f>
        <v/>
      </c>
      <c r="G272" s="62">
        <f>G271*(1+INDEX(Settings!$J$13:$J$16,MATCH(C272,Settings!$A$13:$A$16,0)))+D272</f>
        <v/>
      </c>
    </row>
    <row r="273">
      <c r="A273" s="45" t="n">
        <v>269</v>
      </c>
      <c r="B273" s="67">
        <f>Dashboard!$C$5+(269-1)/12</f>
        <v/>
      </c>
      <c r="C273" s="27">
        <f>INDEX(Dashboard!$C$14:$C$21,MIN(8,INT((269-1)/60)+1))</f>
        <v/>
      </c>
      <c r="D273" s="62">
        <f>MIN(Dashboard!$C$9,INDEX(Settings!$B$19:$B$58,MIN(40,INT((269-1)/12)+1)))</f>
        <v/>
      </c>
      <c r="E273" s="62">
        <f>E272*(1+INDEX(Settings!$E$13:$E$16,MATCH(C273,Settings!$A$13:$A$16,0)))+D273</f>
        <v/>
      </c>
      <c r="F273" s="62">
        <f>F272*(1+INDEX(Settings!$I$13:$I$16,MATCH(C273,Settings!$A$13:$A$16,0)))+D273</f>
        <v/>
      </c>
      <c r="G273" s="62">
        <f>G272*(1+INDEX(Settings!$J$13:$J$16,MATCH(C273,Settings!$A$13:$A$16,0)))+D273</f>
        <v/>
      </c>
    </row>
    <row r="274">
      <c r="A274" s="45" t="n">
        <v>270</v>
      </c>
      <c r="B274" s="67">
        <f>Dashboard!$C$5+(270-1)/12</f>
        <v/>
      </c>
      <c r="C274" s="27">
        <f>INDEX(Dashboard!$C$14:$C$21,MIN(8,INT((270-1)/60)+1))</f>
        <v/>
      </c>
      <c r="D274" s="62">
        <f>MIN(Dashboard!$C$9,INDEX(Settings!$B$19:$B$58,MIN(40,INT((270-1)/12)+1)))</f>
        <v/>
      </c>
      <c r="E274" s="62">
        <f>E273*(1+INDEX(Settings!$E$13:$E$16,MATCH(C274,Settings!$A$13:$A$16,0)))+D274</f>
        <v/>
      </c>
      <c r="F274" s="62">
        <f>F273*(1+INDEX(Settings!$I$13:$I$16,MATCH(C274,Settings!$A$13:$A$16,0)))+D274</f>
        <v/>
      </c>
      <c r="G274" s="62">
        <f>G273*(1+INDEX(Settings!$J$13:$J$16,MATCH(C274,Settings!$A$13:$A$16,0)))+D274</f>
        <v/>
      </c>
    </row>
    <row r="275">
      <c r="A275" s="45" t="n">
        <v>271</v>
      </c>
      <c r="B275" s="67">
        <f>Dashboard!$C$5+(271-1)/12</f>
        <v/>
      </c>
      <c r="C275" s="27">
        <f>INDEX(Dashboard!$C$14:$C$21,MIN(8,INT((271-1)/60)+1))</f>
        <v/>
      </c>
      <c r="D275" s="62">
        <f>MIN(Dashboard!$C$9,INDEX(Settings!$B$19:$B$58,MIN(40,INT((271-1)/12)+1)))</f>
        <v/>
      </c>
      <c r="E275" s="62">
        <f>E274*(1+INDEX(Settings!$E$13:$E$16,MATCH(C275,Settings!$A$13:$A$16,0)))+D275</f>
        <v/>
      </c>
      <c r="F275" s="62">
        <f>F274*(1+INDEX(Settings!$I$13:$I$16,MATCH(C275,Settings!$A$13:$A$16,0)))+D275</f>
        <v/>
      </c>
      <c r="G275" s="62">
        <f>G274*(1+INDEX(Settings!$J$13:$J$16,MATCH(C275,Settings!$A$13:$A$16,0)))+D275</f>
        <v/>
      </c>
    </row>
    <row r="276">
      <c r="A276" s="45" t="n">
        <v>272</v>
      </c>
      <c r="B276" s="67">
        <f>Dashboard!$C$5+(272-1)/12</f>
        <v/>
      </c>
      <c r="C276" s="27">
        <f>INDEX(Dashboard!$C$14:$C$21,MIN(8,INT((272-1)/60)+1))</f>
        <v/>
      </c>
      <c r="D276" s="62">
        <f>MIN(Dashboard!$C$9,INDEX(Settings!$B$19:$B$58,MIN(40,INT((272-1)/12)+1)))</f>
        <v/>
      </c>
      <c r="E276" s="62">
        <f>E275*(1+INDEX(Settings!$E$13:$E$16,MATCH(C276,Settings!$A$13:$A$16,0)))+D276</f>
        <v/>
      </c>
      <c r="F276" s="62">
        <f>F275*(1+INDEX(Settings!$I$13:$I$16,MATCH(C276,Settings!$A$13:$A$16,0)))+D276</f>
        <v/>
      </c>
      <c r="G276" s="62">
        <f>G275*(1+INDEX(Settings!$J$13:$J$16,MATCH(C276,Settings!$A$13:$A$16,0)))+D276</f>
        <v/>
      </c>
    </row>
    <row r="277">
      <c r="A277" s="45" t="n">
        <v>273</v>
      </c>
      <c r="B277" s="67">
        <f>Dashboard!$C$5+(273-1)/12</f>
        <v/>
      </c>
      <c r="C277" s="27">
        <f>INDEX(Dashboard!$C$14:$C$21,MIN(8,INT((273-1)/60)+1))</f>
        <v/>
      </c>
      <c r="D277" s="62">
        <f>MIN(Dashboard!$C$9,INDEX(Settings!$B$19:$B$58,MIN(40,INT((273-1)/12)+1)))</f>
        <v/>
      </c>
      <c r="E277" s="62">
        <f>E276*(1+INDEX(Settings!$E$13:$E$16,MATCH(C277,Settings!$A$13:$A$16,0)))+D277</f>
        <v/>
      </c>
      <c r="F277" s="62">
        <f>F276*(1+INDEX(Settings!$I$13:$I$16,MATCH(C277,Settings!$A$13:$A$16,0)))+D277</f>
        <v/>
      </c>
      <c r="G277" s="62">
        <f>G276*(1+INDEX(Settings!$J$13:$J$16,MATCH(C277,Settings!$A$13:$A$16,0)))+D277</f>
        <v/>
      </c>
    </row>
    <row r="278">
      <c r="A278" s="45" t="n">
        <v>274</v>
      </c>
      <c r="B278" s="67">
        <f>Dashboard!$C$5+(274-1)/12</f>
        <v/>
      </c>
      <c r="C278" s="27">
        <f>INDEX(Dashboard!$C$14:$C$21,MIN(8,INT((274-1)/60)+1))</f>
        <v/>
      </c>
      <c r="D278" s="62">
        <f>MIN(Dashboard!$C$9,INDEX(Settings!$B$19:$B$58,MIN(40,INT((274-1)/12)+1)))</f>
        <v/>
      </c>
      <c r="E278" s="62">
        <f>E277*(1+INDEX(Settings!$E$13:$E$16,MATCH(C278,Settings!$A$13:$A$16,0)))+D278</f>
        <v/>
      </c>
      <c r="F278" s="62">
        <f>F277*(1+INDEX(Settings!$I$13:$I$16,MATCH(C278,Settings!$A$13:$A$16,0)))+D278</f>
        <v/>
      </c>
      <c r="G278" s="62">
        <f>G277*(1+INDEX(Settings!$J$13:$J$16,MATCH(C278,Settings!$A$13:$A$16,0)))+D278</f>
        <v/>
      </c>
    </row>
    <row r="279">
      <c r="A279" s="45" t="n">
        <v>275</v>
      </c>
      <c r="B279" s="67">
        <f>Dashboard!$C$5+(275-1)/12</f>
        <v/>
      </c>
      <c r="C279" s="27">
        <f>INDEX(Dashboard!$C$14:$C$21,MIN(8,INT((275-1)/60)+1))</f>
        <v/>
      </c>
      <c r="D279" s="62">
        <f>MIN(Dashboard!$C$9,INDEX(Settings!$B$19:$B$58,MIN(40,INT((275-1)/12)+1)))</f>
        <v/>
      </c>
      <c r="E279" s="62">
        <f>E278*(1+INDEX(Settings!$E$13:$E$16,MATCH(C279,Settings!$A$13:$A$16,0)))+D279</f>
        <v/>
      </c>
      <c r="F279" s="62">
        <f>F278*(1+INDEX(Settings!$I$13:$I$16,MATCH(C279,Settings!$A$13:$A$16,0)))+D279</f>
        <v/>
      </c>
      <c r="G279" s="62">
        <f>G278*(1+INDEX(Settings!$J$13:$J$16,MATCH(C279,Settings!$A$13:$A$16,0)))+D279</f>
        <v/>
      </c>
    </row>
    <row r="280">
      <c r="A280" s="45" t="n">
        <v>276</v>
      </c>
      <c r="B280" s="67">
        <f>Dashboard!$C$5+(276-1)/12</f>
        <v/>
      </c>
      <c r="C280" s="27">
        <f>INDEX(Dashboard!$C$14:$C$21,MIN(8,INT((276-1)/60)+1))</f>
        <v/>
      </c>
      <c r="D280" s="62">
        <f>MIN(Dashboard!$C$9,INDEX(Settings!$B$19:$B$58,MIN(40,INT((276-1)/12)+1)))</f>
        <v/>
      </c>
      <c r="E280" s="62">
        <f>E279*(1+INDEX(Settings!$E$13:$E$16,MATCH(C280,Settings!$A$13:$A$16,0)))+D280</f>
        <v/>
      </c>
      <c r="F280" s="62">
        <f>F279*(1+INDEX(Settings!$I$13:$I$16,MATCH(C280,Settings!$A$13:$A$16,0)))+D280</f>
        <v/>
      </c>
      <c r="G280" s="62">
        <f>G279*(1+INDEX(Settings!$J$13:$J$16,MATCH(C280,Settings!$A$13:$A$16,0)))+D280</f>
        <v/>
      </c>
    </row>
    <row r="281">
      <c r="A281" s="45" t="n">
        <v>277</v>
      </c>
      <c r="B281" s="67">
        <f>Dashboard!$C$5+(277-1)/12</f>
        <v/>
      </c>
      <c r="C281" s="27">
        <f>INDEX(Dashboard!$C$14:$C$21,MIN(8,INT((277-1)/60)+1))</f>
        <v/>
      </c>
      <c r="D281" s="62">
        <f>MIN(Dashboard!$C$9,INDEX(Settings!$B$19:$B$58,MIN(40,INT((277-1)/12)+1)))</f>
        <v/>
      </c>
      <c r="E281" s="62">
        <f>E280*(1+INDEX(Settings!$E$13:$E$16,MATCH(C281,Settings!$A$13:$A$16,0)))+D281</f>
        <v/>
      </c>
      <c r="F281" s="62">
        <f>F280*(1+INDEX(Settings!$I$13:$I$16,MATCH(C281,Settings!$A$13:$A$16,0)))+D281</f>
        <v/>
      </c>
      <c r="G281" s="62">
        <f>G280*(1+INDEX(Settings!$J$13:$J$16,MATCH(C281,Settings!$A$13:$A$16,0)))+D281</f>
        <v/>
      </c>
    </row>
    <row r="282">
      <c r="A282" s="45" t="n">
        <v>278</v>
      </c>
      <c r="B282" s="67">
        <f>Dashboard!$C$5+(278-1)/12</f>
        <v/>
      </c>
      <c r="C282" s="27">
        <f>INDEX(Dashboard!$C$14:$C$21,MIN(8,INT((278-1)/60)+1))</f>
        <v/>
      </c>
      <c r="D282" s="62">
        <f>MIN(Dashboard!$C$9,INDEX(Settings!$B$19:$B$58,MIN(40,INT((278-1)/12)+1)))</f>
        <v/>
      </c>
      <c r="E282" s="62">
        <f>E281*(1+INDEX(Settings!$E$13:$E$16,MATCH(C282,Settings!$A$13:$A$16,0)))+D282</f>
        <v/>
      </c>
      <c r="F282" s="62">
        <f>F281*(1+INDEX(Settings!$I$13:$I$16,MATCH(C282,Settings!$A$13:$A$16,0)))+D282</f>
        <v/>
      </c>
      <c r="G282" s="62">
        <f>G281*(1+INDEX(Settings!$J$13:$J$16,MATCH(C282,Settings!$A$13:$A$16,0)))+D282</f>
        <v/>
      </c>
    </row>
    <row r="283">
      <c r="A283" s="45" t="n">
        <v>279</v>
      </c>
      <c r="B283" s="67">
        <f>Dashboard!$C$5+(279-1)/12</f>
        <v/>
      </c>
      <c r="C283" s="27">
        <f>INDEX(Dashboard!$C$14:$C$21,MIN(8,INT((279-1)/60)+1))</f>
        <v/>
      </c>
      <c r="D283" s="62">
        <f>MIN(Dashboard!$C$9,INDEX(Settings!$B$19:$B$58,MIN(40,INT((279-1)/12)+1)))</f>
        <v/>
      </c>
      <c r="E283" s="62">
        <f>E282*(1+INDEX(Settings!$E$13:$E$16,MATCH(C283,Settings!$A$13:$A$16,0)))+D283</f>
        <v/>
      </c>
      <c r="F283" s="62">
        <f>F282*(1+INDEX(Settings!$I$13:$I$16,MATCH(C283,Settings!$A$13:$A$16,0)))+D283</f>
        <v/>
      </c>
      <c r="G283" s="62">
        <f>G282*(1+INDEX(Settings!$J$13:$J$16,MATCH(C283,Settings!$A$13:$A$16,0)))+D283</f>
        <v/>
      </c>
    </row>
    <row r="284">
      <c r="A284" s="45" t="n">
        <v>280</v>
      </c>
      <c r="B284" s="67">
        <f>Dashboard!$C$5+(280-1)/12</f>
        <v/>
      </c>
      <c r="C284" s="27">
        <f>INDEX(Dashboard!$C$14:$C$21,MIN(8,INT((280-1)/60)+1))</f>
        <v/>
      </c>
      <c r="D284" s="62">
        <f>MIN(Dashboard!$C$9,INDEX(Settings!$B$19:$B$58,MIN(40,INT((280-1)/12)+1)))</f>
        <v/>
      </c>
      <c r="E284" s="62">
        <f>E283*(1+INDEX(Settings!$E$13:$E$16,MATCH(C284,Settings!$A$13:$A$16,0)))+D284</f>
        <v/>
      </c>
      <c r="F284" s="62">
        <f>F283*(1+INDEX(Settings!$I$13:$I$16,MATCH(C284,Settings!$A$13:$A$16,0)))+D284</f>
        <v/>
      </c>
      <c r="G284" s="62">
        <f>G283*(1+INDEX(Settings!$J$13:$J$16,MATCH(C284,Settings!$A$13:$A$16,0)))+D284</f>
        <v/>
      </c>
    </row>
    <row r="285">
      <c r="A285" s="45" t="n">
        <v>281</v>
      </c>
      <c r="B285" s="67">
        <f>Dashboard!$C$5+(281-1)/12</f>
        <v/>
      </c>
      <c r="C285" s="27">
        <f>INDEX(Dashboard!$C$14:$C$21,MIN(8,INT((281-1)/60)+1))</f>
        <v/>
      </c>
      <c r="D285" s="62">
        <f>MIN(Dashboard!$C$9,INDEX(Settings!$B$19:$B$58,MIN(40,INT((281-1)/12)+1)))</f>
        <v/>
      </c>
      <c r="E285" s="62">
        <f>E284*(1+INDEX(Settings!$E$13:$E$16,MATCH(C285,Settings!$A$13:$A$16,0)))+D285</f>
        <v/>
      </c>
      <c r="F285" s="62">
        <f>F284*(1+INDEX(Settings!$I$13:$I$16,MATCH(C285,Settings!$A$13:$A$16,0)))+D285</f>
        <v/>
      </c>
      <c r="G285" s="62">
        <f>G284*(1+INDEX(Settings!$J$13:$J$16,MATCH(C285,Settings!$A$13:$A$16,0)))+D285</f>
        <v/>
      </c>
    </row>
    <row r="286">
      <c r="A286" s="45" t="n">
        <v>282</v>
      </c>
      <c r="B286" s="67">
        <f>Dashboard!$C$5+(282-1)/12</f>
        <v/>
      </c>
      <c r="C286" s="27">
        <f>INDEX(Dashboard!$C$14:$C$21,MIN(8,INT((282-1)/60)+1))</f>
        <v/>
      </c>
      <c r="D286" s="62">
        <f>MIN(Dashboard!$C$9,INDEX(Settings!$B$19:$B$58,MIN(40,INT((282-1)/12)+1)))</f>
        <v/>
      </c>
      <c r="E286" s="62">
        <f>E285*(1+INDEX(Settings!$E$13:$E$16,MATCH(C286,Settings!$A$13:$A$16,0)))+D286</f>
        <v/>
      </c>
      <c r="F286" s="62">
        <f>F285*(1+INDEX(Settings!$I$13:$I$16,MATCH(C286,Settings!$A$13:$A$16,0)))+D286</f>
        <v/>
      </c>
      <c r="G286" s="62">
        <f>G285*(1+INDEX(Settings!$J$13:$J$16,MATCH(C286,Settings!$A$13:$A$16,0)))+D286</f>
        <v/>
      </c>
    </row>
    <row r="287">
      <c r="A287" s="45" t="n">
        <v>283</v>
      </c>
      <c r="B287" s="67">
        <f>Dashboard!$C$5+(283-1)/12</f>
        <v/>
      </c>
      <c r="C287" s="27">
        <f>INDEX(Dashboard!$C$14:$C$21,MIN(8,INT((283-1)/60)+1))</f>
        <v/>
      </c>
      <c r="D287" s="62">
        <f>MIN(Dashboard!$C$9,INDEX(Settings!$B$19:$B$58,MIN(40,INT((283-1)/12)+1)))</f>
        <v/>
      </c>
      <c r="E287" s="62">
        <f>E286*(1+INDEX(Settings!$E$13:$E$16,MATCH(C287,Settings!$A$13:$A$16,0)))+D287</f>
        <v/>
      </c>
      <c r="F287" s="62">
        <f>F286*(1+INDEX(Settings!$I$13:$I$16,MATCH(C287,Settings!$A$13:$A$16,0)))+D287</f>
        <v/>
      </c>
      <c r="G287" s="62">
        <f>G286*(1+INDEX(Settings!$J$13:$J$16,MATCH(C287,Settings!$A$13:$A$16,0)))+D287</f>
        <v/>
      </c>
    </row>
    <row r="288">
      <c r="A288" s="45" t="n">
        <v>284</v>
      </c>
      <c r="B288" s="67">
        <f>Dashboard!$C$5+(284-1)/12</f>
        <v/>
      </c>
      <c r="C288" s="27">
        <f>INDEX(Dashboard!$C$14:$C$21,MIN(8,INT((284-1)/60)+1))</f>
        <v/>
      </c>
      <c r="D288" s="62">
        <f>MIN(Dashboard!$C$9,INDEX(Settings!$B$19:$B$58,MIN(40,INT((284-1)/12)+1)))</f>
        <v/>
      </c>
      <c r="E288" s="62">
        <f>E287*(1+INDEX(Settings!$E$13:$E$16,MATCH(C288,Settings!$A$13:$A$16,0)))+D288</f>
        <v/>
      </c>
      <c r="F288" s="62">
        <f>F287*(1+INDEX(Settings!$I$13:$I$16,MATCH(C288,Settings!$A$13:$A$16,0)))+D288</f>
        <v/>
      </c>
      <c r="G288" s="62">
        <f>G287*(1+INDEX(Settings!$J$13:$J$16,MATCH(C288,Settings!$A$13:$A$16,0)))+D288</f>
        <v/>
      </c>
    </row>
    <row r="289">
      <c r="A289" s="45" t="n">
        <v>285</v>
      </c>
      <c r="B289" s="67">
        <f>Dashboard!$C$5+(285-1)/12</f>
        <v/>
      </c>
      <c r="C289" s="27">
        <f>INDEX(Dashboard!$C$14:$C$21,MIN(8,INT((285-1)/60)+1))</f>
        <v/>
      </c>
      <c r="D289" s="62">
        <f>MIN(Dashboard!$C$9,INDEX(Settings!$B$19:$B$58,MIN(40,INT((285-1)/12)+1)))</f>
        <v/>
      </c>
      <c r="E289" s="62">
        <f>E288*(1+INDEX(Settings!$E$13:$E$16,MATCH(C289,Settings!$A$13:$A$16,0)))+D289</f>
        <v/>
      </c>
      <c r="F289" s="62">
        <f>F288*(1+INDEX(Settings!$I$13:$I$16,MATCH(C289,Settings!$A$13:$A$16,0)))+D289</f>
        <v/>
      </c>
      <c r="G289" s="62">
        <f>G288*(1+INDEX(Settings!$J$13:$J$16,MATCH(C289,Settings!$A$13:$A$16,0)))+D289</f>
        <v/>
      </c>
    </row>
    <row r="290">
      <c r="A290" s="45" t="n">
        <v>286</v>
      </c>
      <c r="B290" s="67">
        <f>Dashboard!$C$5+(286-1)/12</f>
        <v/>
      </c>
      <c r="C290" s="27">
        <f>INDEX(Dashboard!$C$14:$C$21,MIN(8,INT((286-1)/60)+1))</f>
        <v/>
      </c>
      <c r="D290" s="62">
        <f>MIN(Dashboard!$C$9,INDEX(Settings!$B$19:$B$58,MIN(40,INT((286-1)/12)+1)))</f>
        <v/>
      </c>
      <c r="E290" s="62">
        <f>E289*(1+INDEX(Settings!$E$13:$E$16,MATCH(C290,Settings!$A$13:$A$16,0)))+D290</f>
        <v/>
      </c>
      <c r="F290" s="62">
        <f>F289*(1+INDEX(Settings!$I$13:$I$16,MATCH(C290,Settings!$A$13:$A$16,0)))+D290</f>
        <v/>
      </c>
      <c r="G290" s="62">
        <f>G289*(1+INDEX(Settings!$J$13:$J$16,MATCH(C290,Settings!$A$13:$A$16,0)))+D290</f>
        <v/>
      </c>
    </row>
    <row r="291">
      <c r="A291" s="45" t="n">
        <v>287</v>
      </c>
      <c r="B291" s="67">
        <f>Dashboard!$C$5+(287-1)/12</f>
        <v/>
      </c>
      <c r="C291" s="27">
        <f>INDEX(Dashboard!$C$14:$C$21,MIN(8,INT((287-1)/60)+1))</f>
        <v/>
      </c>
      <c r="D291" s="62">
        <f>MIN(Dashboard!$C$9,INDEX(Settings!$B$19:$B$58,MIN(40,INT((287-1)/12)+1)))</f>
        <v/>
      </c>
      <c r="E291" s="62">
        <f>E290*(1+INDEX(Settings!$E$13:$E$16,MATCH(C291,Settings!$A$13:$A$16,0)))+D291</f>
        <v/>
      </c>
      <c r="F291" s="62">
        <f>F290*(1+INDEX(Settings!$I$13:$I$16,MATCH(C291,Settings!$A$13:$A$16,0)))+D291</f>
        <v/>
      </c>
      <c r="G291" s="62">
        <f>G290*(1+INDEX(Settings!$J$13:$J$16,MATCH(C291,Settings!$A$13:$A$16,0)))+D291</f>
        <v/>
      </c>
    </row>
    <row r="292">
      <c r="A292" s="45" t="n">
        <v>288</v>
      </c>
      <c r="B292" s="67">
        <f>Dashboard!$C$5+(288-1)/12</f>
        <v/>
      </c>
      <c r="C292" s="27">
        <f>INDEX(Dashboard!$C$14:$C$21,MIN(8,INT((288-1)/60)+1))</f>
        <v/>
      </c>
      <c r="D292" s="62">
        <f>MIN(Dashboard!$C$9,INDEX(Settings!$B$19:$B$58,MIN(40,INT((288-1)/12)+1)))</f>
        <v/>
      </c>
      <c r="E292" s="62">
        <f>E291*(1+INDEX(Settings!$E$13:$E$16,MATCH(C292,Settings!$A$13:$A$16,0)))+D292</f>
        <v/>
      </c>
      <c r="F292" s="62">
        <f>F291*(1+INDEX(Settings!$I$13:$I$16,MATCH(C292,Settings!$A$13:$A$16,0)))+D292</f>
        <v/>
      </c>
      <c r="G292" s="62">
        <f>G291*(1+INDEX(Settings!$J$13:$J$16,MATCH(C292,Settings!$A$13:$A$16,0)))+D292</f>
        <v/>
      </c>
    </row>
    <row r="293">
      <c r="A293" s="45" t="n">
        <v>289</v>
      </c>
      <c r="B293" s="67">
        <f>Dashboard!$C$5+(289-1)/12</f>
        <v/>
      </c>
      <c r="C293" s="27">
        <f>INDEX(Dashboard!$C$14:$C$21,MIN(8,INT((289-1)/60)+1))</f>
        <v/>
      </c>
      <c r="D293" s="62">
        <f>MIN(Dashboard!$C$9,INDEX(Settings!$B$19:$B$58,MIN(40,INT((289-1)/12)+1)))</f>
        <v/>
      </c>
      <c r="E293" s="62">
        <f>E292*(1+INDEX(Settings!$E$13:$E$16,MATCH(C293,Settings!$A$13:$A$16,0)))+D293</f>
        <v/>
      </c>
      <c r="F293" s="62">
        <f>F292*(1+INDEX(Settings!$I$13:$I$16,MATCH(C293,Settings!$A$13:$A$16,0)))+D293</f>
        <v/>
      </c>
      <c r="G293" s="62">
        <f>G292*(1+INDEX(Settings!$J$13:$J$16,MATCH(C293,Settings!$A$13:$A$16,0)))+D293</f>
        <v/>
      </c>
    </row>
    <row r="294">
      <c r="A294" s="45" t="n">
        <v>290</v>
      </c>
      <c r="B294" s="67">
        <f>Dashboard!$C$5+(290-1)/12</f>
        <v/>
      </c>
      <c r="C294" s="27">
        <f>INDEX(Dashboard!$C$14:$C$21,MIN(8,INT((290-1)/60)+1))</f>
        <v/>
      </c>
      <c r="D294" s="62">
        <f>MIN(Dashboard!$C$9,INDEX(Settings!$B$19:$B$58,MIN(40,INT((290-1)/12)+1)))</f>
        <v/>
      </c>
      <c r="E294" s="62">
        <f>E293*(1+INDEX(Settings!$E$13:$E$16,MATCH(C294,Settings!$A$13:$A$16,0)))+D294</f>
        <v/>
      </c>
      <c r="F294" s="62">
        <f>F293*(1+INDEX(Settings!$I$13:$I$16,MATCH(C294,Settings!$A$13:$A$16,0)))+D294</f>
        <v/>
      </c>
      <c r="G294" s="62">
        <f>G293*(1+INDEX(Settings!$J$13:$J$16,MATCH(C294,Settings!$A$13:$A$16,0)))+D294</f>
        <v/>
      </c>
    </row>
    <row r="295">
      <c r="A295" s="45" t="n">
        <v>291</v>
      </c>
      <c r="B295" s="67">
        <f>Dashboard!$C$5+(291-1)/12</f>
        <v/>
      </c>
      <c r="C295" s="27">
        <f>INDEX(Dashboard!$C$14:$C$21,MIN(8,INT((291-1)/60)+1))</f>
        <v/>
      </c>
      <c r="D295" s="62">
        <f>MIN(Dashboard!$C$9,INDEX(Settings!$B$19:$B$58,MIN(40,INT((291-1)/12)+1)))</f>
        <v/>
      </c>
      <c r="E295" s="62">
        <f>E294*(1+INDEX(Settings!$E$13:$E$16,MATCH(C295,Settings!$A$13:$A$16,0)))+D295</f>
        <v/>
      </c>
      <c r="F295" s="62">
        <f>F294*(1+INDEX(Settings!$I$13:$I$16,MATCH(C295,Settings!$A$13:$A$16,0)))+D295</f>
        <v/>
      </c>
      <c r="G295" s="62">
        <f>G294*(1+INDEX(Settings!$J$13:$J$16,MATCH(C295,Settings!$A$13:$A$16,0)))+D295</f>
        <v/>
      </c>
    </row>
    <row r="296">
      <c r="A296" s="45" t="n">
        <v>292</v>
      </c>
      <c r="B296" s="67">
        <f>Dashboard!$C$5+(292-1)/12</f>
        <v/>
      </c>
      <c r="C296" s="27">
        <f>INDEX(Dashboard!$C$14:$C$21,MIN(8,INT((292-1)/60)+1))</f>
        <v/>
      </c>
      <c r="D296" s="62">
        <f>MIN(Dashboard!$C$9,INDEX(Settings!$B$19:$B$58,MIN(40,INT((292-1)/12)+1)))</f>
        <v/>
      </c>
      <c r="E296" s="62">
        <f>E295*(1+INDEX(Settings!$E$13:$E$16,MATCH(C296,Settings!$A$13:$A$16,0)))+D296</f>
        <v/>
      </c>
      <c r="F296" s="62">
        <f>F295*(1+INDEX(Settings!$I$13:$I$16,MATCH(C296,Settings!$A$13:$A$16,0)))+D296</f>
        <v/>
      </c>
      <c r="G296" s="62">
        <f>G295*(1+INDEX(Settings!$J$13:$J$16,MATCH(C296,Settings!$A$13:$A$16,0)))+D296</f>
        <v/>
      </c>
    </row>
    <row r="297">
      <c r="A297" s="45" t="n">
        <v>293</v>
      </c>
      <c r="B297" s="67">
        <f>Dashboard!$C$5+(293-1)/12</f>
        <v/>
      </c>
      <c r="C297" s="27">
        <f>INDEX(Dashboard!$C$14:$C$21,MIN(8,INT((293-1)/60)+1))</f>
        <v/>
      </c>
      <c r="D297" s="62">
        <f>MIN(Dashboard!$C$9,INDEX(Settings!$B$19:$B$58,MIN(40,INT((293-1)/12)+1)))</f>
        <v/>
      </c>
      <c r="E297" s="62">
        <f>E296*(1+INDEX(Settings!$E$13:$E$16,MATCH(C297,Settings!$A$13:$A$16,0)))+D297</f>
        <v/>
      </c>
      <c r="F297" s="62">
        <f>F296*(1+INDEX(Settings!$I$13:$I$16,MATCH(C297,Settings!$A$13:$A$16,0)))+D297</f>
        <v/>
      </c>
      <c r="G297" s="62">
        <f>G296*(1+INDEX(Settings!$J$13:$J$16,MATCH(C297,Settings!$A$13:$A$16,0)))+D297</f>
        <v/>
      </c>
    </row>
    <row r="298">
      <c r="A298" s="45" t="n">
        <v>294</v>
      </c>
      <c r="B298" s="67">
        <f>Dashboard!$C$5+(294-1)/12</f>
        <v/>
      </c>
      <c r="C298" s="27">
        <f>INDEX(Dashboard!$C$14:$C$21,MIN(8,INT((294-1)/60)+1))</f>
        <v/>
      </c>
      <c r="D298" s="62">
        <f>MIN(Dashboard!$C$9,INDEX(Settings!$B$19:$B$58,MIN(40,INT((294-1)/12)+1)))</f>
        <v/>
      </c>
      <c r="E298" s="62">
        <f>E297*(1+INDEX(Settings!$E$13:$E$16,MATCH(C298,Settings!$A$13:$A$16,0)))+D298</f>
        <v/>
      </c>
      <c r="F298" s="62">
        <f>F297*(1+INDEX(Settings!$I$13:$I$16,MATCH(C298,Settings!$A$13:$A$16,0)))+D298</f>
        <v/>
      </c>
      <c r="G298" s="62">
        <f>G297*(1+INDEX(Settings!$J$13:$J$16,MATCH(C298,Settings!$A$13:$A$16,0)))+D298</f>
        <v/>
      </c>
    </row>
    <row r="299">
      <c r="A299" s="45" t="n">
        <v>295</v>
      </c>
      <c r="B299" s="67">
        <f>Dashboard!$C$5+(295-1)/12</f>
        <v/>
      </c>
      <c r="C299" s="27">
        <f>INDEX(Dashboard!$C$14:$C$21,MIN(8,INT((295-1)/60)+1))</f>
        <v/>
      </c>
      <c r="D299" s="62">
        <f>MIN(Dashboard!$C$9,INDEX(Settings!$B$19:$B$58,MIN(40,INT((295-1)/12)+1)))</f>
        <v/>
      </c>
      <c r="E299" s="62">
        <f>E298*(1+INDEX(Settings!$E$13:$E$16,MATCH(C299,Settings!$A$13:$A$16,0)))+D299</f>
        <v/>
      </c>
      <c r="F299" s="62">
        <f>F298*(1+INDEX(Settings!$I$13:$I$16,MATCH(C299,Settings!$A$13:$A$16,0)))+D299</f>
        <v/>
      </c>
      <c r="G299" s="62">
        <f>G298*(1+INDEX(Settings!$J$13:$J$16,MATCH(C299,Settings!$A$13:$A$16,0)))+D299</f>
        <v/>
      </c>
    </row>
    <row r="300">
      <c r="A300" s="45" t="n">
        <v>296</v>
      </c>
      <c r="B300" s="67">
        <f>Dashboard!$C$5+(296-1)/12</f>
        <v/>
      </c>
      <c r="C300" s="27">
        <f>INDEX(Dashboard!$C$14:$C$21,MIN(8,INT((296-1)/60)+1))</f>
        <v/>
      </c>
      <c r="D300" s="62">
        <f>MIN(Dashboard!$C$9,INDEX(Settings!$B$19:$B$58,MIN(40,INT((296-1)/12)+1)))</f>
        <v/>
      </c>
      <c r="E300" s="62">
        <f>E299*(1+INDEX(Settings!$E$13:$E$16,MATCH(C300,Settings!$A$13:$A$16,0)))+D300</f>
        <v/>
      </c>
      <c r="F300" s="62">
        <f>F299*(1+INDEX(Settings!$I$13:$I$16,MATCH(C300,Settings!$A$13:$A$16,0)))+D300</f>
        <v/>
      </c>
      <c r="G300" s="62">
        <f>G299*(1+INDEX(Settings!$J$13:$J$16,MATCH(C300,Settings!$A$13:$A$16,0)))+D300</f>
        <v/>
      </c>
    </row>
    <row r="301">
      <c r="A301" s="45" t="n">
        <v>297</v>
      </c>
      <c r="B301" s="67">
        <f>Dashboard!$C$5+(297-1)/12</f>
        <v/>
      </c>
      <c r="C301" s="27">
        <f>INDEX(Dashboard!$C$14:$C$21,MIN(8,INT((297-1)/60)+1))</f>
        <v/>
      </c>
      <c r="D301" s="62">
        <f>MIN(Dashboard!$C$9,INDEX(Settings!$B$19:$B$58,MIN(40,INT((297-1)/12)+1)))</f>
        <v/>
      </c>
      <c r="E301" s="62">
        <f>E300*(1+INDEX(Settings!$E$13:$E$16,MATCH(C301,Settings!$A$13:$A$16,0)))+D301</f>
        <v/>
      </c>
      <c r="F301" s="62">
        <f>F300*(1+INDEX(Settings!$I$13:$I$16,MATCH(C301,Settings!$A$13:$A$16,0)))+D301</f>
        <v/>
      </c>
      <c r="G301" s="62">
        <f>G300*(1+INDEX(Settings!$J$13:$J$16,MATCH(C301,Settings!$A$13:$A$16,0)))+D301</f>
        <v/>
      </c>
    </row>
    <row r="302">
      <c r="A302" s="45" t="n">
        <v>298</v>
      </c>
      <c r="B302" s="67">
        <f>Dashboard!$C$5+(298-1)/12</f>
        <v/>
      </c>
      <c r="C302" s="27">
        <f>INDEX(Dashboard!$C$14:$C$21,MIN(8,INT((298-1)/60)+1))</f>
        <v/>
      </c>
      <c r="D302" s="62">
        <f>MIN(Dashboard!$C$9,INDEX(Settings!$B$19:$B$58,MIN(40,INT((298-1)/12)+1)))</f>
        <v/>
      </c>
      <c r="E302" s="62">
        <f>E301*(1+INDEX(Settings!$E$13:$E$16,MATCH(C302,Settings!$A$13:$A$16,0)))+D302</f>
        <v/>
      </c>
      <c r="F302" s="62">
        <f>F301*(1+INDEX(Settings!$I$13:$I$16,MATCH(C302,Settings!$A$13:$A$16,0)))+D302</f>
        <v/>
      </c>
      <c r="G302" s="62">
        <f>G301*(1+INDEX(Settings!$J$13:$J$16,MATCH(C302,Settings!$A$13:$A$16,0)))+D302</f>
        <v/>
      </c>
    </row>
    <row r="303">
      <c r="A303" s="45" t="n">
        <v>299</v>
      </c>
      <c r="B303" s="67">
        <f>Dashboard!$C$5+(299-1)/12</f>
        <v/>
      </c>
      <c r="C303" s="27">
        <f>INDEX(Dashboard!$C$14:$C$21,MIN(8,INT((299-1)/60)+1))</f>
        <v/>
      </c>
      <c r="D303" s="62">
        <f>MIN(Dashboard!$C$9,INDEX(Settings!$B$19:$B$58,MIN(40,INT((299-1)/12)+1)))</f>
        <v/>
      </c>
      <c r="E303" s="62">
        <f>E302*(1+INDEX(Settings!$E$13:$E$16,MATCH(C303,Settings!$A$13:$A$16,0)))+D303</f>
        <v/>
      </c>
      <c r="F303" s="62">
        <f>F302*(1+INDEX(Settings!$I$13:$I$16,MATCH(C303,Settings!$A$13:$A$16,0)))+D303</f>
        <v/>
      </c>
      <c r="G303" s="62">
        <f>G302*(1+INDEX(Settings!$J$13:$J$16,MATCH(C303,Settings!$A$13:$A$16,0)))+D303</f>
        <v/>
      </c>
    </row>
    <row r="304">
      <c r="A304" s="45" t="n">
        <v>300</v>
      </c>
      <c r="B304" s="67">
        <f>Dashboard!$C$5+(300-1)/12</f>
        <v/>
      </c>
      <c r="C304" s="27">
        <f>INDEX(Dashboard!$C$14:$C$21,MIN(8,INT((300-1)/60)+1))</f>
        <v/>
      </c>
      <c r="D304" s="62">
        <f>MIN(Dashboard!$C$9,INDEX(Settings!$B$19:$B$58,MIN(40,INT((300-1)/12)+1)))</f>
        <v/>
      </c>
      <c r="E304" s="62">
        <f>E303*(1+INDEX(Settings!$E$13:$E$16,MATCH(C304,Settings!$A$13:$A$16,0)))+D304</f>
        <v/>
      </c>
      <c r="F304" s="62">
        <f>F303*(1+INDEX(Settings!$I$13:$I$16,MATCH(C304,Settings!$A$13:$A$16,0)))+D304</f>
        <v/>
      </c>
      <c r="G304" s="62">
        <f>G303*(1+INDEX(Settings!$J$13:$J$16,MATCH(C304,Settings!$A$13:$A$16,0)))+D304</f>
        <v/>
      </c>
    </row>
    <row r="305">
      <c r="A305" s="45" t="n">
        <v>301</v>
      </c>
      <c r="B305" s="67">
        <f>Dashboard!$C$5+(301-1)/12</f>
        <v/>
      </c>
      <c r="C305" s="27">
        <f>INDEX(Dashboard!$C$14:$C$21,MIN(8,INT((301-1)/60)+1))</f>
        <v/>
      </c>
      <c r="D305" s="62">
        <f>MIN(Dashboard!$C$9,INDEX(Settings!$B$19:$B$58,MIN(40,INT((301-1)/12)+1)))</f>
        <v/>
      </c>
      <c r="E305" s="62">
        <f>E304*(1+INDEX(Settings!$E$13:$E$16,MATCH(C305,Settings!$A$13:$A$16,0)))+D305</f>
        <v/>
      </c>
      <c r="F305" s="62">
        <f>F304*(1+INDEX(Settings!$I$13:$I$16,MATCH(C305,Settings!$A$13:$A$16,0)))+D305</f>
        <v/>
      </c>
      <c r="G305" s="62">
        <f>G304*(1+INDEX(Settings!$J$13:$J$16,MATCH(C305,Settings!$A$13:$A$16,0)))+D305</f>
        <v/>
      </c>
    </row>
    <row r="306">
      <c r="A306" s="45" t="n">
        <v>302</v>
      </c>
      <c r="B306" s="67">
        <f>Dashboard!$C$5+(302-1)/12</f>
        <v/>
      </c>
      <c r="C306" s="27">
        <f>INDEX(Dashboard!$C$14:$C$21,MIN(8,INT((302-1)/60)+1))</f>
        <v/>
      </c>
      <c r="D306" s="62">
        <f>MIN(Dashboard!$C$9,INDEX(Settings!$B$19:$B$58,MIN(40,INT((302-1)/12)+1)))</f>
        <v/>
      </c>
      <c r="E306" s="62">
        <f>E305*(1+INDEX(Settings!$E$13:$E$16,MATCH(C306,Settings!$A$13:$A$16,0)))+D306</f>
        <v/>
      </c>
      <c r="F306" s="62">
        <f>F305*(1+INDEX(Settings!$I$13:$I$16,MATCH(C306,Settings!$A$13:$A$16,0)))+D306</f>
        <v/>
      </c>
      <c r="G306" s="62">
        <f>G305*(1+INDEX(Settings!$J$13:$J$16,MATCH(C306,Settings!$A$13:$A$16,0)))+D306</f>
        <v/>
      </c>
    </row>
    <row r="307">
      <c r="A307" s="45" t="n">
        <v>303</v>
      </c>
      <c r="B307" s="67">
        <f>Dashboard!$C$5+(303-1)/12</f>
        <v/>
      </c>
      <c r="C307" s="27">
        <f>INDEX(Dashboard!$C$14:$C$21,MIN(8,INT((303-1)/60)+1))</f>
        <v/>
      </c>
      <c r="D307" s="62">
        <f>MIN(Dashboard!$C$9,INDEX(Settings!$B$19:$B$58,MIN(40,INT((303-1)/12)+1)))</f>
        <v/>
      </c>
      <c r="E307" s="62">
        <f>E306*(1+INDEX(Settings!$E$13:$E$16,MATCH(C307,Settings!$A$13:$A$16,0)))+D307</f>
        <v/>
      </c>
      <c r="F307" s="62">
        <f>F306*(1+INDEX(Settings!$I$13:$I$16,MATCH(C307,Settings!$A$13:$A$16,0)))+D307</f>
        <v/>
      </c>
      <c r="G307" s="62">
        <f>G306*(1+INDEX(Settings!$J$13:$J$16,MATCH(C307,Settings!$A$13:$A$16,0)))+D307</f>
        <v/>
      </c>
    </row>
    <row r="308">
      <c r="A308" s="45" t="n">
        <v>304</v>
      </c>
      <c r="B308" s="67">
        <f>Dashboard!$C$5+(304-1)/12</f>
        <v/>
      </c>
      <c r="C308" s="27">
        <f>INDEX(Dashboard!$C$14:$C$21,MIN(8,INT((304-1)/60)+1))</f>
        <v/>
      </c>
      <c r="D308" s="62">
        <f>MIN(Dashboard!$C$9,INDEX(Settings!$B$19:$B$58,MIN(40,INT((304-1)/12)+1)))</f>
        <v/>
      </c>
      <c r="E308" s="62">
        <f>E307*(1+INDEX(Settings!$E$13:$E$16,MATCH(C308,Settings!$A$13:$A$16,0)))+D308</f>
        <v/>
      </c>
      <c r="F308" s="62">
        <f>F307*(1+INDEX(Settings!$I$13:$I$16,MATCH(C308,Settings!$A$13:$A$16,0)))+D308</f>
        <v/>
      </c>
      <c r="G308" s="62">
        <f>G307*(1+INDEX(Settings!$J$13:$J$16,MATCH(C308,Settings!$A$13:$A$16,0)))+D308</f>
        <v/>
      </c>
    </row>
    <row r="309">
      <c r="A309" s="45" t="n">
        <v>305</v>
      </c>
      <c r="B309" s="67">
        <f>Dashboard!$C$5+(305-1)/12</f>
        <v/>
      </c>
      <c r="C309" s="27">
        <f>INDEX(Dashboard!$C$14:$C$21,MIN(8,INT((305-1)/60)+1))</f>
        <v/>
      </c>
      <c r="D309" s="62">
        <f>MIN(Dashboard!$C$9,INDEX(Settings!$B$19:$B$58,MIN(40,INT((305-1)/12)+1)))</f>
        <v/>
      </c>
      <c r="E309" s="62">
        <f>E308*(1+INDEX(Settings!$E$13:$E$16,MATCH(C309,Settings!$A$13:$A$16,0)))+D309</f>
        <v/>
      </c>
      <c r="F309" s="62">
        <f>F308*(1+INDEX(Settings!$I$13:$I$16,MATCH(C309,Settings!$A$13:$A$16,0)))+D309</f>
        <v/>
      </c>
      <c r="G309" s="62">
        <f>G308*(1+INDEX(Settings!$J$13:$J$16,MATCH(C309,Settings!$A$13:$A$16,0)))+D309</f>
        <v/>
      </c>
    </row>
    <row r="310">
      <c r="A310" s="45" t="n">
        <v>306</v>
      </c>
      <c r="B310" s="67">
        <f>Dashboard!$C$5+(306-1)/12</f>
        <v/>
      </c>
      <c r="C310" s="27">
        <f>INDEX(Dashboard!$C$14:$C$21,MIN(8,INT((306-1)/60)+1))</f>
        <v/>
      </c>
      <c r="D310" s="62">
        <f>MIN(Dashboard!$C$9,INDEX(Settings!$B$19:$B$58,MIN(40,INT((306-1)/12)+1)))</f>
        <v/>
      </c>
      <c r="E310" s="62">
        <f>E309*(1+INDEX(Settings!$E$13:$E$16,MATCH(C310,Settings!$A$13:$A$16,0)))+D310</f>
        <v/>
      </c>
      <c r="F310" s="62">
        <f>F309*(1+INDEX(Settings!$I$13:$I$16,MATCH(C310,Settings!$A$13:$A$16,0)))+D310</f>
        <v/>
      </c>
      <c r="G310" s="62">
        <f>G309*(1+INDEX(Settings!$J$13:$J$16,MATCH(C310,Settings!$A$13:$A$16,0)))+D310</f>
        <v/>
      </c>
    </row>
    <row r="311">
      <c r="A311" s="45" t="n">
        <v>307</v>
      </c>
      <c r="B311" s="67">
        <f>Dashboard!$C$5+(307-1)/12</f>
        <v/>
      </c>
      <c r="C311" s="27">
        <f>INDEX(Dashboard!$C$14:$C$21,MIN(8,INT((307-1)/60)+1))</f>
        <v/>
      </c>
      <c r="D311" s="62">
        <f>MIN(Dashboard!$C$9,INDEX(Settings!$B$19:$B$58,MIN(40,INT((307-1)/12)+1)))</f>
        <v/>
      </c>
      <c r="E311" s="62">
        <f>E310*(1+INDEX(Settings!$E$13:$E$16,MATCH(C311,Settings!$A$13:$A$16,0)))+D311</f>
        <v/>
      </c>
      <c r="F311" s="62">
        <f>F310*(1+INDEX(Settings!$I$13:$I$16,MATCH(C311,Settings!$A$13:$A$16,0)))+D311</f>
        <v/>
      </c>
      <c r="G311" s="62">
        <f>G310*(1+INDEX(Settings!$J$13:$J$16,MATCH(C311,Settings!$A$13:$A$16,0)))+D311</f>
        <v/>
      </c>
    </row>
    <row r="312">
      <c r="A312" s="45" t="n">
        <v>308</v>
      </c>
      <c r="B312" s="67">
        <f>Dashboard!$C$5+(308-1)/12</f>
        <v/>
      </c>
      <c r="C312" s="27">
        <f>INDEX(Dashboard!$C$14:$C$21,MIN(8,INT((308-1)/60)+1))</f>
        <v/>
      </c>
      <c r="D312" s="62">
        <f>MIN(Dashboard!$C$9,INDEX(Settings!$B$19:$B$58,MIN(40,INT((308-1)/12)+1)))</f>
        <v/>
      </c>
      <c r="E312" s="62">
        <f>E311*(1+INDEX(Settings!$E$13:$E$16,MATCH(C312,Settings!$A$13:$A$16,0)))+D312</f>
        <v/>
      </c>
      <c r="F312" s="62">
        <f>F311*(1+INDEX(Settings!$I$13:$I$16,MATCH(C312,Settings!$A$13:$A$16,0)))+D312</f>
        <v/>
      </c>
      <c r="G312" s="62">
        <f>G311*(1+INDEX(Settings!$J$13:$J$16,MATCH(C312,Settings!$A$13:$A$16,0)))+D312</f>
        <v/>
      </c>
    </row>
    <row r="313">
      <c r="A313" s="45" t="n">
        <v>309</v>
      </c>
      <c r="B313" s="67">
        <f>Dashboard!$C$5+(309-1)/12</f>
        <v/>
      </c>
      <c r="C313" s="27">
        <f>INDEX(Dashboard!$C$14:$C$21,MIN(8,INT((309-1)/60)+1))</f>
        <v/>
      </c>
      <c r="D313" s="62">
        <f>MIN(Dashboard!$C$9,INDEX(Settings!$B$19:$B$58,MIN(40,INT((309-1)/12)+1)))</f>
        <v/>
      </c>
      <c r="E313" s="62">
        <f>E312*(1+INDEX(Settings!$E$13:$E$16,MATCH(C313,Settings!$A$13:$A$16,0)))+D313</f>
        <v/>
      </c>
      <c r="F313" s="62">
        <f>F312*(1+INDEX(Settings!$I$13:$I$16,MATCH(C313,Settings!$A$13:$A$16,0)))+D313</f>
        <v/>
      </c>
      <c r="G313" s="62">
        <f>G312*(1+INDEX(Settings!$J$13:$J$16,MATCH(C313,Settings!$A$13:$A$16,0)))+D313</f>
        <v/>
      </c>
    </row>
    <row r="314">
      <c r="A314" s="45" t="n">
        <v>310</v>
      </c>
      <c r="B314" s="67">
        <f>Dashboard!$C$5+(310-1)/12</f>
        <v/>
      </c>
      <c r="C314" s="27">
        <f>INDEX(Dashboard!$C$14:$C$21,MIN(8,INT((310-1)/60)+1))</f>
        <v/>
      </c>
      <c r="D314" s="62">
        <f>MIN(Dashboard!$C$9,INDEX(Settings!$B$19:$B$58,MIN(40,INT((310-1)/12)+1)))</f>
        <v/>
      </c>
      <c r="E314" s="62">
        <f>E313*(1+INDEX(Settings!$E$13:$E$16,MATCH(C314,Settings!$A$13:$A$16,0)))+D314</f>
        <v/>
      </c>
      <c r="F314" s="62">
        <f>F313*(1+INDEX(Settings!$I$13:$I$16,MATCH(C314,Settings!$A$13:$A$16,0)))+D314</f>
        <v/>
      </c>
      <c r="G314" s="62">
        <f>G313*(1+INDEX(Settings!$J$13:$J$16,MATCH(C314,Settings!$A$13:$A$16,0)))+D314</f>
        <v/>
      </c>
    </row>
    <row r="315">
      <c r="A315" s="45" t="n">
        <v>311</v>
      </c>
      <c r="B315" s="67">
        <f>Dashboard!$C$5+(311-1)/12</f>
        <v/>
      </c>
      <c r="C315" s="27">
        <f>INDEX(Dashboard!$C$14:$C$21,MIN(8,INT((311-1)/60)+1))</f>
        <v/>
      </c>
      <c r="D315" s="62">
        <f>MIN(Dashboard!$C$9,INDEX(Settings!$B$19:$B$58,MIN(40,INT((311-1)/12)+1)))</f>
        <v/>
      </c>
      <c r="E315" s="62">
        <f>E314*(1+INDEX(Settings!$E$13:$E$16,MATCH(C315,Settings!$A$13:$A$16,0)))+D315</f>
        <v/>
      </c>
      <c r="F315" s="62">
        <f>F314*(1+INDEX(Settings!$I$13:$I$16,MATCH(C315,Settings!$A$13:$A$16,0)))+D315</f>
        <v/>
      </c>
      <c r="G315" s="62">
        <f>G314*(1+INDEX(Settings!$J$13:$J$16,MATCH(C315,Settings!$A$13:$A$16,0)))+D315</f>
        <v/>
      </c>
    </row>
    <row r="316">
      <c r="A316" s="45" t="n">
        <v>312</v>
      </c>
      <c r="B316" s="67">
        <f>Dashboard!$C$5+(312-1)/12</f>
        <v/>
      </c>
      <c r="C316" s="27">
        <f>INDEX(Dashboard!$C$14:$C$21,MIN(8,INT((312-1)/60)+1))</f>
        <v/>
      </c>
      <c r="D316" s="62">
        <f>MIN(Dashboard!$C$9,INDEX(Settings!$B$19:$B$58,MIN(40,INT((312-1)/12)+1)))</f>
        <v/>
      </c>
      <c r="E316" s="62">
        <f>E315*(1+INDEX(Settings!$E$13:$E$16,MATCH(C316,Settings!$A$13:$A$16,0)))+D316</f>
        <v/>
      </c>
      <c r="F316" s="62">
        <f>F315*(1+INDEX(Settings!$I$13:$I$16,MATCH(C316,Settings!$A$13:$A$16,0)))+D316</f>
        <v/>
      </c>
      <c r="G316" s="62">
        <f>G315*(1+INDEX(Settings!$J$13:$J$16,MATCH(C316,Settings!$A$13:$A$16,0)))+D316</f>
        <v/>
      </c>
    </row>
    <row r="317">
      <c r="A317" s="45" t="n">
        <v>313</v>
      </c>
      <c r="B317" s="67">
        <f>Dashboard!$C$5+(313-1)/12</f>
        <v/>
      </c>
      <c r="C317" s="27">
        <f>INDEX(Dashboard!$C$14:$C$21,MIN(8,INT((313-1)/60)+1))</f>
        <v/>
      </c>
      <c r="D317" s="62">
        <f>MIN(Dashboard!$C$9,INDEX(Settings!$B$19:$B$58,MIN(40,INT((313-1)/12)+1)))</f>
        <v/>
      </c>
      <c r="E317" s="62">
        <f>E316*(1+INDEX(Settings!$E$13:$E$16,MATCH(C317,Settings!$A$13:$A$16,0)))+D317</f>
        <v/>
      </c>
      <c r="F317" s="62">
        <f>F316*(1+INDEX(Settings!$I$13:$I$16,MATCH(C317,Settings!$A$13:$A$16,0)))+D317</f>
        <v/>
      </c>
      <c r="G317" s="62">
        <f>G316*(1+INDEX(Settings!$J$13:$J$16,MATCH(C317,Settings!$A$13:$A$16,0)))+D317</f>
        <v/>
      </c>
    </row>
    <row r="318">
      <c r="A318" s="45" t="n">
        <v>314</v>
      </c>
      <c r="B318" s="67">
        <f>Dashboard!$C$5+(314-1)/12</f>
        <v/>
      </c>
      <c r="C318" s="27">
        <f>INDEX(Dashboard!$C$14:$C$21,MIN(8,INT((314-1)/60)+1))</f>
        <v/>
      </c>
      <c r="D318" s="62">
        <f>MIN(Dashboard!$C$9,INDEX(Settings!$B$19:$B$58,MIN(40,INT((314-1)/12)+1)))</f>
        <v/>
      </c>
      <c r="E318" s="62">
        <f>E317*(1+INDEX(Settings!$E$13:$E$16,MATCH(C318,Settings!$A$13:$A$16,0)))+D318</f>
        <v/>
      </c>
      <c r="F318" s="62">
        <f>F317*(1+INDEX(Settings!$I$13:$I$16,MATCH(C318,Settings!$A$13:$A$16,0)))+D318</f>
        <v/>
      </c>
      <c r="G318" s="62">
        <f>G317*(1+INDEX(Settings!$J$13:$J$16,MATCH(C318,Settings!$A$13:$A$16,0)))+D318</f>
        <v/>
      </c>
    </row>
    <row r="319">
      <c r="A319" s="45" t="n">
        <v>315</v>
      </c>
      <c r="B319" s="67">
        <f>Dashboard!$C$5+(315-1)/12</f>
        <v/>
      </c>
      <c r="C319" s="27">
        <f>INDEX(Dashboard!$C$14:$C$21,MIN(8,INT((315-1)/60)+1))</f>
        <v/>
      </c>
      <c r="D319" s="62">
        <f>MIN(Dashboard!$C$9,INDEX(Settings!$B$19:$B$58,MIN(40,INT((315-1)/12)+1)))</f>
        <v/>
      </c>
      <c r="E319" s="62">
        <f>E318*(1+INDEX(Settings!$E$13:$E$16,MATCH(C319,Settings!$A$13:$A$16,0)))+D319</f>
        <v/>
      </c>
      <c r="F319" s="62">
        <f>F318*(1+INDEX(Settings!$I$13:$I$16,MATCH(C319,Settings!$A$13:$A$16,0)))+D319</f>
        <v/>
      </c>
      <c r="G319" s="62">
        <f>G318*(1+INDEX(Settings!$J$13:$J$16,MATCH(C319,Settings!$A$13:$A$16,0)))+D319</f>
        <v/>
      </c>
    </row>
    <row r="320">
      <c r="A320" s="45" t="n">
        <v>316</v>
      </c>
      <c r="B320" s="67">
        <f>Dashboard!$C$5+(316-1)/12</f>
        <v/>
      </c>
      <c r="C320" s="27">
        <f>INDEX(Dashboard!$C$14:$C$21,MIN(8,INT((316-1)/60)+1))</f>
        <v/>
      </c>
      <c r="D320" s="62">
        <f>MIN(Dashboard!$C$9,INDEX(Settings!$B$19:$B$58,MIN(40,INT((316-1)/12)+1)))</f>
        <v/>
      </c>
      <c r="E320" s="62">
        <f>E319*(1+INDEX(Settings!$E$13:$E$16,MATCH(C320,Settings!$A$13:$A$16,0)))+D320</f>
        <v/>
      </c>
      <c r="F320" s="62">
        <f>F319*(1+INDEX(Settings!$I$13:$I$16,MATCH(C320,Settings!$A$13:$A$16,0)))+D320</f>
        <v/>
      </c>
      <c r="G320" s="62">
        <f>G319*(1+INDEX(Settings!$J$13:$J$16,MATCH(C320,Settings!$A$13:$A$16,0)))+D320</f>
        <v/>
      </c>
    </row>
    <row r="321">
      <c r="A321" s="45" t="n">
        <v>317</v>
      </c>
      <c r="B321" s="67">
        <f>Dashboard!$C$5+(317-1)/12</f>
        <v/>
      </c>
      <c r="C321" s="27">
        <f>INDEX(Dashboard!$C$14:$C$21,MIN(8,INT((317-1)/60)+1))</f>
        <v/>
      </c>
      <c r="D321" s="62">
        <f>MIN(Dashboard!$C$9,INDEX(Settings!$B$19:$B$58,MIN(40,INT((317-1)/12)+1)))</f>
        <v/>
      </c>
      <c r="E321" s="62">
        <f>E320*(1+INDEX(Settings!$E$13:$E$16,MATCH(C321,Settings!$A$13:$A$16,0)))+D321</f>
        <v/>
      </c>
      <c r="F321" s="62">
        <f>F320*(1+INDEX(Settings!$I$13:$I$16,MATCH(C321,Settings!$A$13:$A$16,0)))+D321</f>
        <v/>
      </c>
      <c r="G321" s="62">
        <f>G320*(1+INDEX(Settings!$J$13:$J$16,MATCH(C321,Settings!$A$13:$A$16,0)))+D321</f>
        <v/>
      </c>
    </row>
    <row r="322">
      <c r="A322" s="45" t="n">
        <v>318</v>
      </c>
      <c r="B322" s="67">
        <f>Dashboard!$C$5+(318-1)/12</f>
        <v/>
      </c>
      <c r="C322" s="27">
        <f>INDEX(Dashboard!$C$14:$C$21,MIN(8,INT((318-1)/60)+1))</f>
        <v/>
      </c>
      <c r="D322" s="62">
        <f>MIN(Dashboard!$C$9,INDEX(Settings!$B$19:$B$58,MIN(40,INT((318-1)/12)+1)))</f>
        <v/>
      </c>
      <c r="E322" s="62">
        <f>E321*(1+INDEX(Settings!$E$13:$E$16,MATCH(C322,Settings!$A$13:$A$16,0)))+D322</f>
        <v/>
      </c>
      <c r="F322" s="62">
        <f>F321*(1+INDEX(Settings!$I$13:$I$16,MATCH(C322,Settings!$A$13:$A$16,0)))+D322</f>
        <v/>
      </c>
      <c r="G322" s="62">
        <f>G321*(1+INDEX(Settings!$J$13:$J$16,MATCH(C322,Settings!$A$13:$A$16,0)))+D322</f>
        <v/>
      </c>
    </row>
    <row r="323">
      <c r="A323" s="45" t="n">
        <v>319</v>
      </c>
      <c r="B323" s="67">
        <f>Dashboard!$C$5+(319-1)/12</f>
        <v/>
      </c>
      <c r="C323" s="27">
        <f>INDEX(Dashboard!$C$14:$C$21,MIN(8,INT((319-1)/60)+1))</f>
        <v/>
      </c>
      <c r="D323" s="62">
        <f>MIN(Dashboard!$C$9,INDEX(Settings!$B$19:$B$58,MIN(40,INT((319-1)/12)+1)))</f>
        <v/>
      </c>
      <c r="E323" s="62">
        <f>E322*(1+INDEX(Settings!$E$13:$E$16,MATCH(C323,Settings!$A$13:$A$16,0)))+D323</f>
        <v/>
      </c>
      <c r="F323" s="62">
        <f>F322*(1+INDEX(Settings!$I$13:$I$16,MATCH(C323,Settings!$A$13:$A$16,0)))+D323</f>
        <v/>
      </c>
      <c r="G323" s="62">
        <f>G322*(1+INDEX(Settings!$J$13:$J$16,MATCH(C323,Settings!$A$13:$A$16,0)))+D323</f>
        <v/>
      </c>
    </row>
    <row r="324">
      <c r="A324" s="45" t="n">
        <v>320</v>
      </c>
      <c r="B324" s="67">
        <f>Dashboard!$C$5+(320-1)/12</f>
        <v/>
      </c>
      <c r="C324" s="27">
        <f>INDEX(Dashboard!$C$14:$C$21,MIN(8,INT((320-1)/60)+1))</f>
        <v/>
      </c>
      <c r="D324" s="62">
        <f>MIN(Dashboard!$C$9,INDEX(Settings!$B$19:$B$58,MIN(40,INT((320-1)/12)+1)))</f>
        <v/>
      </c>
      <c r="E324" s="62">
        <f>E323*(1+INDEX(Settings!$E$13:$E$16,MATCH(C324,Settings!$A$13:$A$16,0)))+D324</f>
        <v/>
      </c>
      <c r="F324" s="62">
        <f>F323*(1+INDEX(Settings!$I$13:$I$16,MATCH(C324,Settings!$A$13:$A$16,0)))+D324</f>
        <v/>
      </c>
      <c r="G324" s="62">
        <f>G323*(1+INDEX(Settings!$J$13:$J$16,MATCH(C324,Settings!$A$13:$A$16,0)))+D324</f>
        <v/>
      </c>
    </row>
    <row r="325">
      <c r="A325" s="45" t="n">
        <v>321</v>
      </c>
      <c r="B325" s="67">
        <f>Dashboard!$C$5+(321-1)/12</f>
        <v/>
      </c>
      <c r="C325" s="27">
        <f>INDEX(Dashboard!$C$14:$C$21,MIN(8,INT((321-1)/60)+1))</f>
        <v/>
      </c>
      <c r="D325" s="62">
        <f>MIN(Dashboard!$C$9,INDEX(Settings!$B$19:$B$58,MIN(40,INT((321-1)/12)+1)))</f>
        <v/>
      </c>
      <c r="E325" s="62">
        <f>E324*(1+INDEX(Settings!$E$13:$E$16,MATCH(C325,Settings!$A$13:$A$16,0)))+D325</f>
        <v/>
      </c>
      <c r="F325" s="62">
        <f>F324*(1+INDEX(Settings!$I$13:$I$16,MATCH(C325,Settings!$A$13:$A$16,0)))+D325</f>
        <v/>
      </c>
      <c r="G325" s="62">
        <f>G324*(1+INDEX(Settings!$J$13:$J$16,MATCH(C325,Settings!$A$13:$A$16,0)))+D325</f>
        <v/>
      </c>
    </row>
    <row r="326">
      <c r="A326" s="45" t="n">
        <v>322</v>
      </c>
      <c r="B326" s="67">
        <f>Dashboard!$C$5+(322-1)/12</f>
        <v/>
      </c>
      <c r="C326" s="27">
        <f>INDEX(Dashboard!$C$14:$C$21,MIN(8,INT((322-1)/60)+1))</f>
        <v/>
      </c>
      <c r="D326" s="62">
        <f>MIN(Dashboard!$C$9,INDEX(Settings!$B$19:$B$58,MIN(40,INT((322-1)/12)+1)))</f>
        <v/>
      </c>
      <c r="E326" s="62">
        <f>E325*(1+INDEX(Settings!$E$13:$E$16,MATCH(C326,Settings!$A$13:$A$16,0)))+D326</f>
        <v/>
      </c>
      <c r="F326" s="62">
        <f>F325*(1+INDEX(Settings!$I$13:$I$16,MATCH(C326,Settings!$A$13:$A$16,0)))+D326</f>
        <v/>
      </c>
      <c r="G326" s="62">
        <f>G325*(1+INDEX(Settings!$J$13:$J$16,MATCH(C326,Settings!$A$13:$A$16,0)))+D326</f>
        <v/>
      </c>
    </row>
    <row r="327">
      <c r="A327" s="45" t="n">
        <v>323</v>
      </c>
      <c r="B327" s="67">
        <f>Dashboard!$C$5+(323-1)/12</f>
        <v/>
      </c>
      <c r="C327" s="27">
        <f>INDEX(Dashboard!$C$14:$C$21,MIN(8,INT((323-1)/60)+1))</f>
        <v/>
      </c>
      <c r="D327" s="62">
        <f>MIN(Dashboard!$C$9,INDEX(Settings!$B$19:$B$58,MIN(40,INT((323-1)/12)+1)))</f>
        <v/>
      </c>
      <c r="E327" s="62">
        <f>E326*(1+INDEX(Settings!$E$13:$E$16,MATCH(C327,Settings!$A$13:$A$16,0)))+D327</f>
        <v/>
      </c>
      <c r="F327" s="62">
        <f>F326*(1+INDEX(Settings!$I$13:$I$16,MATCH(C327,Settings!$A$13:$A$16,0)))+D327</f>
        <v/>
      </c>
      <c r="G327" s="62">
        <f>G326*(1+INDEX(Settings!$J$13:$J$16,MATCH(C327,Settings!$A$13:$A$16,0)))+D327</f>
        <v/>
      </c>
    </row>
    <row r="328">
      <c r="A328" s="45" t="n">
        <v>324</v>
      </c>
      <c r="B328" s="67">
        <f>Dashboard!$C$5+(324-1)/12</f>
        <v/>
      </c>
      <c r="C328" s="27">
        <f>INDEX(Dashboard!$C$14:$C$21,MIN(8,INT((324-1)/60)+1))</f>
        <v/>
      </c>
      <c r="D328" s="62">
        <f>MIN(Dashboard!$C$9,INDEX(Settings!$B$19:$B$58,MIN(40,INT((324-1)/12)+1)))</f>
        <v/>
      </c>
      <c r="E328" s="62">
        <f>E327*(1+INDEX(Settings!$E$13:$E$16,MATCH(C328,Settings!$A$13:$A$16,0)))+D328</f>
        <v/>
      </c>
      <c r="F328" s="62">
        <f>F327*(1+INDEX(Settings!$I$13:$I$16,MATCH(C328,Settings!$A$13:$A$16,0)))+D328</f>
        <v/>
      </c>
      <c r="G328" s="62">
        <f>G327*(1+INDEX(Settings!$J$13:$J$16,MATCH(C328,Settings!$A$13:$A$16,0)))+D328</f>
        <v/>
      </c>
    </row>
    <row r="329">
      <c r="A329" s="45" t="n">
        <v>325</v>
      </c>
      <c r="B329" s="67">
        <f>Dashboard!$C$5+(325-1)/12</f>
        <v/>
      </c>
      <c r="C329" s="27">
        <f>INDEX(Dashboard!$C$14:$C$21,MIN(8,INT((325-1)/60)+1))</f>
        <v/>
      </c>
      <c r="D329" s="62">
        <f>MIN(Dashboard!$C$9,INDEX(Settings!$B$19:$B$58,MIN(40,INT((325-1)/12)+1)))</f>
        <v/>
      </c>
      <c r="E329" s="62">
        <f>E328*(1+INDEX(Settings!$E$13:$E$16,MATCH(C329,Settings!$A$13:$A$16,0)))+D329</f>
        <v/>
      </c>
      <c r="F329" s="62">
        <f>F328*(1+INDEX(Settings!$I$13:$I$16,MATCH(C329,Settings!$A$13:$A$16,0)))+D329</f>
        <v/>
      </c>
      <c r="G329" s="62">
        <f>G328*(1+INDEX(Settings!$J$13:$J$16,MATCH(C329,Settings!$A$13:$A$16,0)))+D329</f>
        <v/>
      </c>
    </row>
    <row r="330">
      <c r="A330" s="45" t="n">
        <v>326</v>
      </c>
      <c r="B330" s="67">
        <f>Dashboard!$C$5+(326-1)/12</f>
        <v/>
      </c>
      <c r="C330" s="27">
        <f>INDEX(Dashboard!$C$14:$C$21,MIN(8,INT((326-1)/60)+1))</f>
        <v/>
      </c>
      <c r="D330" s="62">
        <f>MIN(Dashboard!$C$9,INDEX(Settings!$B$19:$B$58,MIN(40,INT((326-1)/12)+1)))</f>
        <v/>
      </c>
      <c r="E330" s="62">
        <f>E329*(1+INDEX(Settings!$E$13:$E$16,MATCH(C330,Settings!$A$13:$A$16,0)))+D330</f>
        <v/>
      </c>
      <c r="F330" s="62">
        <f>F329*(1+INDEX(Settings!$I$13:$I$16,MATCH(C330,Settings!$A$13:$A$16,0)))+D330</f>
        <v/>
      </c>
      <c r="G330" s="62">
        <f>G329*(1+INDEX(Settings!$J$13:$J$16,MATCH(C330,Settings!$A$13:$A$16,0)))+D330</f>
        <v/>
      </c>
    </row>
    <row r="331">
      <c r="A331" s="45" t="n">
        <v>327</v>
      </c>
      <c r="B331" s="67">
        <f>Dashboard!$C$5+(327-1)/12</f>
        <v/>
      </c>
      <c r="C331" s="27">
        <f>INDEX(Dashboard!$C$14:$C$21,MIN(8,INT((327-1)/60)+1))</f>
        <v/>
      </c>
      <c r="D331" s="62">
        <f>MIN(Dashboard!$C$9,INDEX(Settings!$B$19:$B$58,MIN(40,INT((327-1)/12)+1)))</f>
        <v/>
      </c>
      <c r="E331" s="62">
        <f>E330*(1+INDEX(Settings!$E$13:$E$16,MATCH(C331,Settings!$A$13:$A$16,0)))+D331</f>
        <v/>
      </c>
      <c r="F331" s="62">
        <f>F330*(1+INDEX(Settings!$I$13:$I$16,MATCH(C331,Settings!$A$13:$A$16,0)))+D331</f>
        <v/>
      </c>
      <c r="G331" s="62">
        <f>G330*(1+INDEX(Settings!$J$13:$J$16,MATCH(C331,Settings!$A$13:$A$16,0)))+D331</f>
        <v/>
      </c>
    </row>
    <row r="332">
      <c r="A332" s="45" t="n">
        <v>328</v>
      </c>
      <c r="B332" s="67">
        <f>Dashboard!$C$5+(328-1)/12</f>
        <v/>
      </c>
      <c r="C332" s="27">
        <f>INDEX(Dashboard!$C$14:$C$21,MIN(8,INT((328-1)/60)+1))</f>
        <v/>
      </c>
      <c r="D332" s="62">
        <f>MIN(Dashboard!$C$9,INDEX(Settings!$B$19:$B$58,MIN(40,INT((328-1)/12)+1)))</f>
        <v/>
      </c>
      <c r="E332" s="62">
        <f>E331*(1+INDEX(Settings!$E$13:$E$16,MATCH(C332,Settings!$A$13:$A$16,0)))+D332</f>
        <v/>
      </c>
      <c r="F332" s="62">
        <f>F331*(1+INDEX(Settings!$I$13:$I$16,MATCH(C332,Settings!$A$13:$A$16,0)))+D332</f>
        <v/>
      </c>
      <c r="G332" s="62">
        <f>G331*(1+INDEX(Settings!$J$13:$J$16,MATCH(C332,Settings!$A$13:$A$16,0)))+D332</f>
        <v/>
      </c>
    </row>
    <row r="333">
      <c r="A333" s="45" t="n">
        <v>329</v>
      </c>
      <c r="B333" s="67">
        <f>Dashboard!$C$5+(329-1)/12</f>
        <v/>
      </c>
      <c r="C333" s="27">
        <f>INDEX(Dashboard!$C$14:$C$21,MIN(8,INT((329-1)/60)+1))</f>
        <v/>
      </c>
      <c r="D333" s="62">
        <f>MIN(Dashboard!$C$9,INDEX(Settings!$B$19:$B$58,MIN(40,INT((329-1)/12)+1)))</f>
        <v/>
      </c>
      <c r="E333" s="62">
        <f>E332*(1+INDEX(Settings!$E$13:$E$16,MATCH(C333,Settings!$A$13:$A$16,0)))+D333</f>
        <v/>
      </c>
      <c r="F333" s="62">
        <f>F332*(1+INDEX(Settings!$I$13:$I$16,MATCH(C333,Settings!$A$13:$A$16,0)))+D333</f>
        <v/>
      </c>
      <c r="G333" s="62">
        <f>G332*(1+INDEX(Settings!$J$13:$J$16,MATCH(C333,Settings!$A$13:$A$16,0)))+D333</f>
        <v/>
      </c>
    </row>
    <row r="334">
      <c r="A334" s="45" t="n">
        <v>330</v>
      </c>
      <c r="B334" s="67">
        <f>Dashboard!$C$5+(330-1)/12</f>
        <v/>
      </c>
      <c r="C334" s="27">
        <f>INDEX(Dashboard!$C$14:$C$21,MIN(8,INT((330-1)/60)+1))</f>
        <v/>
      </c>
      <c r="D334" s="62">
        <f>MIN(Dashboard!$C$9,INDEX(Settings!$B$19:$B$58,MIN(40,INT((330-1)/12)+1)))</f>
        <v/>
      </c>
      <c r="E334" s="62">
        <f>E333*(1+INDEX(Settings!$E$13:$E$16,MATCH(C334,Settings!$A$13:$A$16,0)))+D334</f>
        <v/>
      </c>
      <c r="F334" s="62">
        <f>F333*(1+INDEX(Settings!$I$13:$I$16,MATCH(C334,Settings!$A$13:$A$16,0)))+D334</f>
        <v/>
      </c>
      <c r="G334" s="62">
        <f>G333*(1+INDEX(Settings!$J$13:$J$16,MATCH(C334,Settings!$A$13:$A$16,0)))+D334</f>
        <v/>
      </c>
    </row>
    <row r="335">
      <c r="A335" s="45" t="n">
        <v>331</v>
      </c>
      <c r="B335" s="67">
        <f>Dashboard!$C$5+(331-1)/12</f>
        <v/>
      </c>
      <c r="C335" s="27">
        <f>INDEX(Dashboard!$C$14:$C$21,MIN(8,INT((331-1)/60)+1))</f>
        <v/>
      </c>
      <c r="D335" s="62">
        <f>MIN(Dashboard!$C$9,INDEX(Settings!$B$19:$B$58,MIN(40,INT((331-1)/12)+1)))</f>
        <v/>
      </c>
      <c r="E335" s="62">
        <f>E334*(1+INDEX(Settings!$E$13:$E$16,MATCH(C335,Settings!$A$13:$A$16,0)))+D335</f>
        <v/>
      </c>
      <c r="F335" s="62">
        <f>F334*(1+INDEX(Settings!$I$13:$I$16,MATCH(C335,Settings!$A$13:$A$16,0)))+D335</f>
        <v/>
      </c>
      <c r="G335" s="62">
        <f>G334*(1+INDEX(Settings!$J$13:$J$16,MATCH(C335,Settings!$A$13:$A$16,0)))+D335</f>
        <v/>
      </c>
    </row>
    <row r="336">
      <c r="A336" s="45" t="n">
        <v>332</v>
      </c>
      <c r="B336" s="67">
        <f>Dashboard!$C$5+(332-1)/12</f>
        <v/>
      </c>
      <c r="C336" s="27">
        <f>INDEX(Dashboard!$C$14:$C$21,MIN(8,INT((332-1)/60)+1))</f>
        <v/>
      </c>
      <c r="D336" s="62">
        <f>MIN(Dashboard!$C$9,INDEX(Settings!$B$19:$B$58,MIN(40,INT((332-1)/12)+1)))</f>
        <v/>
      </c>
      <c r="E336" s="62">
        <f>E335*(1+INDEX(Settings!$E$13:$E$16,MATCH(C336,Settings!$A$13:$A$16,0)))+D336</f>
        <v/>
      </c>
      <c r="F336" s="62">
        <f>F335*(1+INDEX(Settings!$I$13:$I$16,MATCH(C336,Settings!$A$13:$A$16,0)))+D336</f>
        <v/>
      </c>
      <c r="G336" s="62">
        <f>G335*(1+INDEX(Settings!$J$13:$J$16,MATCH(C336,Settings!$A$13:$A$16,0)))+D336</f>
        <v/>
      </c>
    </row>
    <row r="337">
      <c r="A337" s="45" t="n">
        <v>333</v>
      </c>
      <c r="B337" s="67">
        <f>Dashboard!$C$5+(333-1)/12</f>
        <v/>
      </c>
      <c r="C337" s="27">
        <f>INDEX(Dashboard!$C$14:$C$21,MIN(8,INT((333-1)/60)+1))</f>
        <v/>
      </c>
      <c r="D337" s="62">
        <f>MIN(Dashboard!$C$9,INDEX(Settings!$B$19:$B$58,MIN(40,INT((333-1)/12)+1)))</f>
        <v/>
      </c>
      <c r="E337" s="62">
        <f>E336*(1+INDEX(Settings!$E$13:$E$16,MATCH(C337,Settings!$A$13:$A$16,0)))+D337</f>
        <v/>
      </c>
      <c r="F337" s="62">
        <f>F336*(1+INDEX(Settings!$I$13:$I$16,MATCH(C337,Settings!$A$13:$A$16,0)))+D337</f>
        <v/>
      </c>
      <c r="G337" s="62">
        <f>G336*(1+INDEX(Settings!$J$13:$J$16,MATCH(C337,Settings!$A$13:$A$16,0)))+D337</f>
        <v/>
      </c>
    </row>
    <row r="338">
      <c r="A338" s="45" t="n">
        <v>334</v>
      </c>
      <c r="B338" s="67">
        <f>Dashboard!$C$5+(334-1)/12</f>
        <v/>
      </c>
      <c r="C338" s="27">
        <f>INDEX(Dashboard!$C$14:$C$21,MIN(8,INT((334-1)/60)+1))</f>
        <v/>
      </c>
      <c r="D338" s="62">
        <f>MIN(Dashboard!$C$9,INDEX(Settings!$B$19:$B$58,MIN(40,INT((334-1)/12)+1)))</f>
        <v/>
      </c>
      <c r="E338" s="62">
        <f>E337*(1+INDEX(Settings!$E$13:$E$16,MATCH(C338,Settings!$A$13:$A$16,0)))+D338</f>
        <v/>
      </c>
      <c r="F338" s="62">
        <f>F337*(1+INDEX(Settings!$I$13:$I$16,MATCH(C338,Settings!$A$13:$A$16,0)))+D338</f>
        <v/>
      </c>
      <c r="G338" s="62">
        <f>G337*(1+INDEX(Settings!$J$13:$J$16,MATCH(C338,Settings!$A$13:$A$16,0)))+D338</f>
        <v/>
      </c>
    </row>
    <row r="339">
      <c r="A339" s="45" t="n">
        <v>335</v>
      </c>
      <c r="B339" s="67">
        <f>Dashboard!$C$5+(335-1)/12</f>
        <v/>
      </c>
      <c r="C339" s="27">
        <f>INDEX(Dashboard!$C$14:$C$21,MIN(8,INT((335-1)/60)+1))</f>
        <v/>
      </c>
      <c r="D339" s="62">
        <f>MIN(Dashboard!$C$9,INDEX(Settings!$B$19:$B$58,MIN(40,INT((335-1)/12)+1)))</f>
        <v/>
      </c>
      <c r="E339" s="62">
        <f>E338*(1+INDEX(Settings!$E$13:$E$16,MATCH(C339,Settings!$A$13:$A$16,0)))+D339</f>
        <v/>
      </c>
      <c r="F339" s="62">
        <f>F338*(1+INDEX(Settings!$I$13:$I$16,MATCH(C339,Settings!$A$13:$A$16,0)))+D339</f>
        <v/>
      </c>
      <c r="G339" s="62">
        <f>G338*(1+INDEX(Settings!$J$13:$J$16,MATCH(C339,Settings!$A$13:$A$16,0)))+D339</f>
        <v/>
      </c>
    </row>
    <row r="340">
      <c r="A340" s="45" t="n">
        <v>336</v>
      </c>
      <c r="B340" s="67">
        <f>Dashboard!$C$5+(336-1)/12</f>
        <v/>
      </c>
      <c r="C340" s="27">
        <f>INDEX(Dashboard!$C$14:$C$21,MIN(8,INT((336-1)/60)+1))</f>
        <v/>
      </c>
      <c r="D340" s="62">
        <f>MIN(Dashboard!$C$9,INDEX(Settings!$B$19:$B$58,MIN(40,INT((336-1)/12)+1)))</f>
        <v/>
      </c>
      <c r="E340" s="62">
        <f>E339*(1+INDEX(Settings!$E$13:$E$16,MATCH(C340,Settings!$A$13:$A$16,0)))+D340</f>
        <v/>
      </c>
      <c r="F340" s="62">
        <f>F339*(1+INDEX(Settings!$I$13:$I$16,MATCH(C340,Settings!$A$13:$A$16,0)))+D340</f>
        <v/>
      </c>
      <c r="G340" s="62">
        <f>G339*(1+INDEX(Settings!$J$13:$J$16,MATCH(C340,Settings!$A$13:$A$16,0)))+D340</f>
        <v/>
      </c>
    </row>
    <row r="341">
      <c r="A341" s="45" t="n">
        <v>337</v>
      </c>
      <c r="B341" s="67">
        <f>Dashboard!$C$5+(337-1)/12</f>
        <v/>
      </c>
      <c r="C341" s="27">
        <f>INDEX(Dashboard!$C$14:$C$21,MIN(8,INT((337-1)/60)+1))</f>
        <v/>
      </c>
      <c r="D341" s="62">
        <f>MIN(Dashboard!$C$9,INDEX(Settings!$B$19:$B$58,MIN(40,INT((337-1)/12)+1)))</f>
        <v/>
      </c>
      <c r="E341" s="62">
        <f>E340*(1+INDEX(Settings!$E$13:$E$16,MATCH(C341,Settings!$A$13:$A$16,0)))+D341</f>
        <v/>
      </c>
      <c r="F341" s="62">
        <f>F340*(1+INDEX(Settings!$I$13:$I$16,MATCH(C341,Settings!$A$13:$A$16,0)))+D341</f>
        <v/>
      </c>
      <c r="G341" s="62">
        <f>G340*(1+INDEX(Settings!$J$13:$J$16,MATCH(C341,Settings!$A$13:$A$16,0)))+D341</f>
        <v/>
      </c>
    </row>
    <row r="342">
      <c r="A342" s="45" t="n">
        <v>338</v>
      </c>
      <c r="B342" s="67">
        <f>Dashboard!$C$5+(338-1)/12</f>
        <v/>
      </c>
      <c r="C342" s="27">
        <f>INDEX(Dashboard!$C$14:$C$21,MIN(8,INT((338-1)/60)+1))</f>
        <v/>
      </c>
      <c r="D342" s="62">
        <f>MIN(Dashboard!$C$9,INDEX(Settings!$B$19:$B$58,MIN(40,INT((338-1)/12)+1)))</f>
        <v/>
      </c>
      <c r="E342" s="62">
        <f>E341*(1+INDEX(Settings!$E$13:$E$16,MATCH(C342,Settings!$A$13:$A$16,0)))+D342</f>
        <v/>
      </c>
      <c r="F342" s="62">
        <f>F341*(1+INDEX(Settings!$I$13:$I$16,MATCH(C342,Settings!$A$13:$A$16,0)))+D342</f>
        <v/>
      </c>
      <c r="G342" s="62">
        <f>G341*(1+INDEX(Settings!$J$13:$J$16,MATCH(C342,Settings!$A$13:$A$16,0)))+D342</f>
        <v/>
      </c>
    </row>
    <row r="343">
      <c r="A343" s="45" t="n">
        <v>339</v>
      </c>
      <c r="B343" s="67">
        <f>Dashboard!$C$5+(339-1)/12</f>
        <v/>
      </c>
      <c r="C343" s="27">
        <f>INDEX(Dashboard!$C$14:$C$21,MIN(8,INT((339-1)/60)+1))</f>
        <v/>
      </c>
      <c r="D343" s="62">
        <f>MIN(Dashboard!$C$9,INDEX(Settings!$B$19:$B$58,MIN(40,INT((339-1)/12)+1)))</f>
        <v/>
      </c>
      <c r="E343" s="62">
        <f>E342*(1+INDEX(Settings!$E$13:$E$16,MATCH(C343,Settings!$A$13:$A$16,0)))+D343</f>
        <v/>
      </c>
      <c r="F343" s="62">
        <f>F342*(1+INDEX(Settings!$I$13:$I$16,MATCH(C343,Settings!$A$13:$A$16,0)))+D343</f>
        <v/>
      </c>
      <c r="G343" s="62">
        <f>G342*(1+INDEX(Settings!$J$13:$J$16,MATCH(C343,Settings!$A$13:$A$16,0)))+D343</f>
        <v/>
      </c>
    </row>
    <row r="344">
      <c r="A344" s="45" t="n">
        <v>340</v>
      </c>
      <c r="B344" s="67">
        <f>Dashboard!$C$5+(340-1)/12</f>
        <v/>
      </c>
      <c r="C344" s="27">
        <f>INDEX(Dashboard!$C$14:$C$21,MIN(8,INT((340-1)/60)+1))</f>
        <v/>
      </c>
      <c r="D344" s="62">
        <f>MIN(Dashboard!$C$9,INDEX(Settings!$B$19:$B$58,MIN(40,INT((340-1)/12)+1)))</f>
        <v/>
      </c>
      <c r="E344" s="62">
        <f>E343*(1+INDEX(Settings!$E$13:$E$16,MATCH(C344,Settings!$A$13:$A$16,0)))+D344</f>
        <v/>
      </c>
      <c r="F344" s="62">
        <f>F343*(1+INDEX(Settings!$I$13:$I$16,MATCH(C344,Settings!$A$13:$A$16,0)))+D344</f>
        <v/>
      </c>
      <c r="G344" s="62">
        <f>G343*(1+INDEX(Settings!$J$13:$J$16,MATCH(C344,Settings!$A$13:$A$16,0)))+D344</f>
        <v/>
      </c>
    </row>
    <row r="345">
      <c r="A345" s="45" t="n">
        <v>341</v>
      </c>
      <c r="B345" s="67">
        <f>Dashboard!$C$5+(341-1)/12</f>
        <v/>
      </c>
      <c r="C345" s="27">
        <f>INDEX(Dashboard!$C$14:$C$21,MIN(8,INT((341-1)/60)+1))</f>
        <v/>
      </c>
      <c r="D345" s="62">
        <f>MIN(Dashboard!$C$9,INDEX(Settings!$B$19:$B$58,MIN(40,INT((341-1)/12)+1)))</f>
        <v/>
      </c>
      <c r="E345" s="62">
        <f>E344*(1+INDEX(Settings!$E$13:$E$16,MATCH(C345,Settings!$A$13:$A$16,0)))+D345</f>
        <v/>
      </c>
      <c r="F345" s="62">
        <f>F344*(1+INDEX(Settings!$I$13:$I$16,MATCH(C345,Settings!$A$13:$A$16,0)))+D345</f>
        <v/>
      </c>
      <c r="G345" s="62">
        <f>G344*(1+INDEX(Settings!$J$13:$J$16,MATCH(C345,Settings!$A$13:$A$16,0)))+D345</f>
        <v/>
      </c>
    </row>
    <row r="346">
      <c r="A346" s="45" t="n">
        <v>342</v>
      </c>
      <c r="B346" s="67">
        <f>Dashboard!$C$5+(342-1)/12</f>
        <v/>
      </c>
      <c r="C346" s="27">
        <f>INDEX(Dashboard!$C$14:$C$21,MIN(8,INT((342-1)/60)+1))</f>
        <v/>
      </c>
      <c r="D346" s="62">
        <f>MIN(Dashboard!$C$9,INDEX(Settings!$B$19:$B$58,MIN(40,INT((342-1)/12)+1)))</f>
        <v/>
      </c>
      <c r="E346" s="62">
        <f>E345*(1+INDEX(Settings!$E$13:$E$16,MATCH(C346,Settings!$A$13:$A$16,0)))+D346</f>
        <v/>
      </c>
      <c r="F346" s="62">
        <f>F345*(1+INDEX(Settings!$I$13:$I$16,MATCH(C346,Settings!$A$13:$A$16,0)))+D346</f>
        <v/>
      </c>
      <c r="G346" s="62">
        <f>G345*(1+INDEX(Settings!$J$13:$J$16,MATCH(C346,Settings!$A$13:$A$16,0)))+D346</f>
        <v/>
      </c>
    </row>
    <row r="347">
      <c r="A347" s="45" t="n">
        <v>343</v>
      </c>
      <c r="B347" s="67">
        <f>Dashboard!$C$5+(343-1)/12</f>
        <v/>
      </c>
      <c r="C347" s="27">
        <f>INDEX(Dashboard!$C$14:$C$21,MIN(8,INT((343-1)/60)+1))</f>
        <v/>
      </c>
      <c r="D347" s="62">
        <f>MIN(Dashboard!$C$9,INDEX(Settings!$B$19:$B$58,MIN(40,INT((343-1)/12)+1)))</f>
        <v/>
      </c>
      <c r="E347" s="62">
        <f>E346*(1+INDEX(Settings!$E$13:$E$16,MATCH(C347,Settings!$A$13:$A$16,0)))+D347</f>
        <v/>
      </c>
      <c r="F347" s="62">
        <f>F346*(1+INDEX(Settings!$I$13:$I$16,MATCH(C347,Settings!$A$13:$A$16,0)))+D347</f>
        <v/>
      </c>
      <c r="G347" s="62">
        <f>G346*(1+INDEX(Settings!$J$13:$J$16,MATCH(C347,Settings!$A$13:$A$16,0)))+D347</f>
        <v/>
      </c>
    </row>
    <row r="348">
      <c r="A348" s="45" t="n">
        <v>344</v>
      </c>
      <c r="B348" s="67">
        <f>Dashboard!$C$5+(344-1)/12</f>
        <v/>
      </c>
      <c r="C348" s="27">
        <f>INDEX(Dashboard!$C$14:$C$21,MIN(8,INT((344-1)/60)+1))</f>
        <v/>
      </c>
      <c r="D348" s="62">
        <f>MIN(Dashboard!$C$9,INDEX(Settings!$B$19:$B$58,MIN(40,INT((344-1)/12)+1)))</f>
        <v/>
      </c>
      <c r="E348" s="62">
        <f>E347*(1+INDEX(Settings!$E$13:$E$16,MATCH(C348,Settings!$A$13:$A$16,0)))+D348</f>
        <v/>
      </c>
      <c r="F348" s="62">
        <f>F347*(1+INDEX(Settings!$I$13:$I$16,MATCH(C348,Settings!$A$13:$A$16,0)))+D348</f>
        <v/>
      </c>
      <c r="G348" s="62">
        <f>G347*(1+INDEX(Settings!$J$13:$J$16,MATCH(C348,Settings!$A$13:$A$16,0)))+D348</f>
        <v/>
      </c>
    </row>
    <row r="349">
      <c r="A349" s="45" t="n">
        <v>345</v>
      </c>
      <c r="B349" s="67">
        <f>Dashboard!$C$5+(345-1)/12</f>
        <v/>
      </c>
      <c r="C349" s="27">
        <f>INDEX(Dashboard!$C$14:$C$21,MIN(8,INT((345-1)/60)+1))</f>
        <v/>
      </c>
      <c r="D349" s="62">
        <f>MIN(Dashboard!$C$9,INDEX(Settings!$B$19:$B$58,MIN(40,INT((345-1)/12)+1)))</f>
        <v/>
      </c>
      <c r="E349" s="62">
        <f>E348*(1+INDEX(Settings!$E$13:$E$16,MATCH(C349,Settings!$A$13:$A$16,0)))+D349</f>
        <v/>
      </c>
      <c r="F349" s="62">
        <f>F348*(1+INDEX(Settings!$I$13:$I$16,MATCH(C349,Settings!$A$13:$A$16,0)))+D349</f>
        <v/>
      </c>
      <c r="G349" s="62">
        <f>G348*(1+INDEX(Settings!$J$13:$J$16,MATCH(C349,Settings!$A$13:$A$16,0)))+D349</f>
        <v/>
      </c>
    </row>
    <row r="350">
      <c r="A350" s="45" t="n">
        <v>346</v>
      </c>
      <c r="B350" s="67">
        <f>Dashboard!$C$5+(346-1)/12</f>
        <v/>
      </c>
      <c r="C350" s="27">
        <f>INDEX(Dashboard!$C$14:$C$21,MIN(8,INT((346-1)/60)+1))</f>
        <v/>
      </c>
      <c r="D350" s="62">
        <f>MIN(Dashboard!$C$9,INDEX(Settings!$B$19:$B$58,MIN(40,INT((346-1)/12)+1)))</f>
        <v/>
      </c>
      <c r="E350" s="62">
        <f>E349*(1+INDEX(Settings!$E$13:$E$16,MATCH(C350,Settings!$A$13:$A$16,0)))+D350</f>
        <v/>
      </c>
      <c r="F350" s="62">
        <f>F349*(1+INDEX(Settings!$I$13:$I$16,MATCH(C350,Settings!$A$13:$A$16,0)))+D350</f>
        <v/>
      </c>
      <c r="G350" s="62">
        <f>G349*(1+INDEX(Settings!$J$13:$J$16,MATCH(C350,Settings!$A$13:$A$16,0)))+D350</f>
        <v/>
      </c>
    </row>
    <row r="351">
      <c r="A351" s="45" t="n">
        <v>347</v>
      </c>
      <c r="B351" s="67">
        <f>Dashboard!$C$5+(347-1)/12</f>
        <v/>
      </c>
      <c r="C351" s="27">
        <f>INDEX(Dashboard!$C$14:$C$21,MIN(8,INT((347-1)/60)+1))</f>
        <v/>
      </c>
      <c r="D351" s="62">
        <f>MIN(Dashboard!$C$9,INDEX(Settings!$B$19:$B$58,MIN(40,INT((347-1)/12)+1)))</f>
        <v/>
      </c>
      <c r="E351" s="62">
        <f>E350*(1+INDEX(Settings!$E$13:$E$16,MATCH(C351,Settings!$A$13:$A$16,0)))+D351</f>
        <v/>
      </c>
      <c r="F351" s="62">
        <f>F350*(1+INDEX(Settings!$I$13:$I$16,MATCH(C351,Settings!$A$13:$A$16,0)))+D351</f>
        <v/>
      </c>
      <c r="G351" s="62">
        <f>G350*(1+INDEX(Settings!$J$13:$J$16,MATCH(C351,Settings!$A$13:$A$16,0)))+D351</f>
        <v/>
      </c>
    </row>
    <row r="352">
      <c r="A352" s="45" t="n">
        <v>348</v>
      </c>
      <c r="B352" s="67">
        <f>Dashboard!$C$5+(348-1)/12</f>
        <v/>
      </c>
      <c r="C352" s="27">
        <f>INDEX(Dashboard!$C$14:$C$21,MIN(8,INT((348-1)/60)+1))</f>
        <v/>
      </c>
      <c r="D352" s="62">
        <f>MIN(Dashboard!$C$9,INDEX(Settings!$B$19:$B$58,MIN(40,INT((348-1)/12)+1)))</f>
        <v/>
      </c>
      <c r="E352" s="62">
        <f>E351*(1+INDEX(Settings!$E$13:$E$16,MATCH(C352,Settings!$A$13:$A$16,0)))+D352</f>
        <v/>
      </c>
      <c r="F352" s="62">
        <f>F351*(1+INDEX(Settings!$I$13:$I$16,MATCH(C352,Settings!$A$13:$A$16,0)))+D352</f>
        <v/>
      </c>
      <c r="G352" s="62">
        <f>G351*(1+INDEX(Settings!$J$13:$J$16,MATCH(C352,Settings!$A$13:$A$16,0)))+D352</f>
        <v/>
      </c>
    </row>
    <row r="353">
      <c r="A353" s="45" t="n">
        <v>349</v>
      </c>
      <c r="B353" s="67">
        <f>Dashboard!$C$5+(349-1)/12</f>
        <v/>
      </c>
      <c r="C353" s="27">
        <f>INDEX(Dashboard!$C$14:$C$21,MIN(8,INT((349-1)/60)+1))</f>
        <v/>
      </c>
      <c r="D353" s="62">
        <f>MIN(Dashboard!$C$9,INDEX(Settings!$B$19:$B$58,MIN(40,INT((349-1)/12)+1)))</f>
        <v/>
      </c>
      <c r="E353" s="62">
        <f>E352*(1+INDEX(Settings!$E$13:$E$16,MATCH(C353,Settings!$A$13:$A$16,0)))+D353</f>
        <v/>
      </c>
      <c r="F353" s="62">
        <f>F352*(1+INDEX(Settings!$I$13:$I$16,MATCH(C353,Settings!$A$13:$A$16,0)))+D353</f>
        <v/>
      </c>
      <c r="G353" s="62">
        <f>G352*(1+INDEX(Settings!$J$13:$J$16,MATCH(C353,Settings!$A$13:$A$16,0)))+D353</f>
        <v/>
      </c>
    </row>
    <row r="354">
      <c r="A354" s="45" t="n">
        <v>350</v>
      </c>
      <c r="B354" s="67">
        <f>Dashboard!$C$5+(350-1)/12</f>
        <v/>
      </c>
      <c r="C354" s="27">
        <f>INDEX(Dashboard!$C$14:$C$21,MIN(8,INT((350-1)/60)+1))</f>
        <v/>
      </c>
      <c r="D354" s="62">
        <f>MIN(Dashboard!$C$9,INDEX(Settings!$B$19:$B$58,MIN(40,INT((350-1)/12)+1)))</f>
        <v/>
      </c>
      <c r="E354" s="62">
        <f>E353*(1+INDEX(Settings!$E$13:$E$16,MATCH(C354,Settings!$A$13:$A$16,0)))+D354</f>
        <v/>
      </c>
      <c r="F354" s="62">
        <f>F353*(1+INDEX(Settings!$I$13:$I$16,MATCH(C354,Settings!$A$13:$A$16,0)))+D354</f>
        <v/>
      </c>
      <c r="G354" s="62">
        <f>G353*(1+INDEX(Settings!$J$13:$J$16,MATCH(C354,Settings!$A$13:$A$16,0)))+D354</f>
        <v/>
      </c>
    </row>
    <row r="355">
      <c r="A355" s="45" t="n">
        <v>351</v>
      </c>
      <c r="B355" s="67">
        <f>Dashboard!$C$5+(351-1)/12</f>
        <v/>
      </c>
      <c r="C355" s="27">
        <f>INDEX(Dashboard!$C$14:$C$21,MIN(8,INT((351-1)/60)+1))</f>
        <v/>
      </c>
      <c r="D355" s="62">
        <f>MIN(Dashboard!$C$9,INDEX(Settings!$B$19:$B$58,MIN(40,INT((351-1)/12)+1)))</f>
        <v/>
      </c>
      <c r="E355" s="62">
        <f>E354*(1+INDEX(Settings!$E$13:$E$16,MATCH(C355,Settings!$A$13:$A$16,0)))+D355</f>
        <v/>
      </c>
      <c r="F355" s="62">
        <f>F354*(1+INDEX(Settings!$I$13:$I$16,MATCH(C355,Settings!$A$13:$A$16,0)))+D355</f>
        <v/>
      </c>
      <c r="G355" s="62">
        <f>G354*(1+INDEX(Settings!$J$13:$J$16,MATCH(C355,Settings!$A$13:$A$16,0)))+D355</f>
        <v/>
      </c>
    </row>
    <row r="356">
      <c r="A356" s="45" t="n">
        <v>352</v>
      </c>
      <c r="B356" s="67">
        <f>Dashboard!$C$5+(352-1)/12</f>
        <v/>
      </c>
      <c r="C356" s="27">
        <f>INDEX(Dashboard!$C$14:$C$21,MIN(8,INT((352-1)/60)+1))</f>
        <v/>
      </c>
      <c r="D356" s="62">
        <f>MIN(Dashboard!$C$9,INDEX(Settings!$B$19:$B$58,MIN(40,INT((352-1)/12)+1)))</f>
        <v/>
      </c>
      <c r="E356" s="62">
        <f>E355*(1+INDEX(Settings!$E$13:$E$16,MATCH(C356,Settings!$A$13:$A$16,0)))+D356</f>
        <v/>
      </c>
      <c r="F356" s="62">
        <f>F355*(1+INDEX(Settings!$I$13:$I$16,MATCH(C356,Settings!$A$13:$A$16,0)))+D356</f>
        <v/>
      </c>
      <c r="G356" s="62">
        <f>G355*(1+INDEX(Settings!$J$13:$J$16,MATCH(C356,Settings!$A$13:$A$16,0)))+D356</f>
        <v/>
      </c>
    </row>
    <row r="357">
      <c r="A357" s="45" t="n">
        <v>353</v>
      </c>
      <c r="B357" s="67">
        <f>Dashboard!$C$5+(353-1)/12</f>
        <v/>
      </c>
      <c r="C357" s="27">
        <f>INDEX(Dashboard!$C$14:$C$21,MIN(8,INT((353-1)/60)+1))</f>
        <v/>
      </c>
      <c r="D357" s="62">
        <f>MIN(Dashboard!$C$9,INDEX(Settings!$B$19:$B$58,MIN(40,INT((353-1)/12)+1)))</f>
        <v/>
      </c>
      <c r="E357" s="62">
        <f>E356*(1+INDEX(Settings!$E$13:$E$16,MATCH(C357,Settings!$A$13:$A$16,0)))+D357</f>
        <v/>
      </c>
      <c r="F357" s="62">
        <f>F356*(1+INDEX(Settings!$I$13:$I$16,MATCH(C357,Settings!$A$13:$A$16,0)))+D357</f>
        <v/>
      </c>
      <c r="G357" s="62">
        <f>G356*(1+INDEX(Settings!$J$13:$J$16,MATCH(C357,Settings!$A$13:$A$16,0)))+D357</f>
        <v/>
      </c>
    </row>
    <row r="358">
      <c r="A358" s="45" t="n">
        <v>354</v>
      </c>
      <c r="B358" s="67">
        <f>Dashboard!$C$5+(354-1)/12</f>
        <v/>
      </c>
      <c r="C358" s="27">
        <f>INDEX(Dashboard!$C$14:$C$21,MIN(8,INT((354-1)/60)+1))</f>
        <v/>
      </c>
      <c r="D358" s="62">
        <f>MIN(Dashboard!$C$9,INDEX(Settings!$B$19:$B$58,MIN(40,INT((354-1)/12)+1)))</f>
        <v/>
      </c>
      <c r="E358" s="62">
        <f>E357*(1+INDEX(Settings!$E$13:$E$16,MATCH(C358,Settings!$A$13:$A$16,0)))+D358</f>
        <v/>
      </c>
      <c r="F358" s="62">
        <f>F357*(1+INDEX(Settings!$I$13:$I$16,MATCH(C358,Settings!$A$13:$A$16,0)))+D358</f>
        <v/>
      </c>
      <c r="G358" s="62">
        <f>G357*(1+INDEX(Settings!$J$13:$J$16,MATCH(C358,Settings!$A$13:$A$16,0)))+D358</f>
        <v/>
      </c>
    </row>
    <row r="359">
      <c r="A359" s="45" t="n">
        <v>355</v>
      </c>
      <c r="B359" s="67">
        <f>Dashboard!$C$5+(355-1)/12</f>
        <v/>
      </c>
      <c r="C359" s="27">
        <f>INDEX(Dashboard!$C$14:$C$21,MIN(8,INT((355-1)/60)+1))</f>
        <v/>
      </c>
      <c r="D359" s="62">
        <f>MIN(Dashboard!$C$9,INDEX(Settings!$B$19:$B$58,MIN(40,INT((355-1)/12)+1)))</f>
        <v/>
      </c>
      <c r="E359" s="62">
        <f>E358*(1+INDEX(Settings!$E$13:$E$16,MATCH(C359,Settings!$A$13:$A$16,0)))+D359</f>
        <v/>
      </c>
      <c r="F359" s="62">
        <f>F358*(1+INDEX(Settings!$I$13:$I$16,MATCH(C359,Settings!$A$13:$A$16,0)))+D359</f>
        <v/>
      </c>
      <c r="G359" s="62">
        <f>G358*(1+INDEX(Settings!$J$13:$J$16,MATCH(C359,Settings!$A$13:$A$16,0)))+D359</f>
        <v/>
      </c>
    </row>
    <row r="360">
      <c r="A360" s="45" t="n">
        <v>356</v>
      </c>
      <c r="B360" s="67">
        <f>Dashboard!$C$5+(356-1)/12</f>
        <v/>
      </c>
      <c r="C360" s="27">
        <f>INDEX(Dashboard!$C$14:$C$21,MIN(8,INT((356-1)/60)+1))</f>
        <v/>
      </c>
      <c r="D360" s="62">
        <f>MIN(Dashboard!$C$9,INDEX(Settings!$B$19:$B$58,MIN(40,INT((356-1)/12)+1)))</f>
        <v/>
      </c>
      <c r="E360" s="62">
        <f>E359*(1+INDEX(Settings!$E$13:$E$16,MATCH(C360,Settings!$A$13:$A$16,0)))+D360</f>
        <v/>
      </c>
      <c r="F360" s="62">
        <f>F359*(1+INDEX(Settings!$I$13:$I$16,MATCH(C360,Settings!$A$13:$A$16,0)))+D360</f>
        <v/>
      </c>
      <c r="G360" s="62">
        <f>G359*(1+INDEX(Settings!$J$13:$J$16,MATCH(C360,Settings!$A$13:$A$16,0)))+D360</f>
        <v/>
      </c>
    </row>
    <row r="361">
      <c r="A361" s="45" t="n">
        <v>357</v>
      </c>
      <c r="B361" s="67">
        <f>Dashboard!$C$5+(357-1)/12</f>
        <v/>
      </c>
      <c r="C361" s="27">
        <f>INDEX(Dashboard!$C$14:$C$21,MIN(8,INT((357-1)/60)+1))</f>
        <v/>
      </c>
      <c r="D361" s="62">
        <f>MIN(Dashboard!$C$9,INDEX(Settings!$B$19:$B$58,MIN(40,INT((357-1)/12)+1)))</f>
        <v/>
      </c>
      <c r="E361" s="62">
        <f>E360*(1+INDEX(Settings!$E$13:$E$16,MATCH(C361,Settings!$A$13:$A$16,0)))+D361</f>
        <v/>
      </c>
      <c r="F361" s="62">
        <f>F360*(1+INDEX(Settings!$I$13:$I$16,MATCH(C361,Settings!$A$13:$A$16,0)))+D361</f>
        <v/>
      </c>
      <c r="G361" s="62">
        <f>G360*(1+INDEX(Settings!$J$13:$J$16,MATCH(C361,Settings!$A$13:$A$16,0)))+D361</f>
        <v/>
      </c>
    </row>
    <row r="362">
      <c r="A362" s="45" t="n">
        <v>358</v>
      </c>
      <c r="B362" s="67">
        <f>Dashboard!$C$5+(358-1)/12</f>
        <v/>
      </c>
      <c r="C362" s="27">
        <f>INDEX(Dashboard!$C$14:$C$21,MIN(8,INT((358-1)/60)+1))</f>
        <v/>
      </c>
      <c r="D362" s="62">
        <f>MIN(Dashboard!$C$9,INDEX(Settings!$B$19:$B$58,MIN(40,INT((358-1)/12)+1)))</f>
        <v/>
      </c>
      <c r="E362" s="62">
        <f>E361*(1+INDEX(Settings!$E$13:$E$16,MATCH(C362,Settings!$A$13:$A$16,0)))+D362</f>
        <v/>
      </c>
      <c r="F362" s="62">
        <f>F361*(1+INDEX(Settings!$I$13:$I$16,MATCH(C362,Settings!$A$13:$A$16,0)))+D362</f>
        <v/>
      </c>
      <c r="G362" s="62">
        <f>G361*(1+INDEX(Settings!$J$13:$J$16,MATCH(C362,Settings!$A$13:$A$16,0)))+D362</f>
        <v/>
      </c>
    </row>
    <row r="363">
      <c r="A363" s="45" t="n">
        <v>359</v>
      </c>
      <c r="B363" s="67">
        <f>Dashboard!$C$5+(359-1)/12</f>
        <v/>
      </c>
      <c r="C363" s="27">
        <f>INDEX(Dashboard!$C$14:$C$21,MIN(8,INT((359-1)/60)+1))</f>
        <v/>
      </c>
      <c r="D363" s="62">
        <f>MIN(Dashboard!$C$9,INDEX(Settings!$B$19:$B$58,MIN(40,INT((359-1)/12)+1)))</f>
        <v/>
      </c>
      <c r="E363" s="62">
        <f>E362*(1+INDEX(Settings!$E$13:$E$16,MATCH(C363,Settings!$A$13:$A$16,0)))+D363</f>
        <v/>
      </c>
      <c r="F363" s="62">
        <f>F362*(1+INDEX(Settings!$I$13:$I$16,MATCH(C363,Settings!$A$13:$A$16,0)))+D363</f>
        <v/>
      </c>
      <c r="G363" s="62">
        <f>G362*(1+INDEX(Settings!$J$13:$J$16,MATCH(C363,Settings!$A$13:$A$16,0)))+D363</f>
        <v/>
      </c>
    </row>
    <row r="364">
      <c r="A364" s="45" t="n">
        <v>360</v>
      </c>
      <c r="B364" s="67">
        <f>Dashboard!$C$5+(360-1)/12</f>
        <v/>
      </c>
      <c r="C364" s="27">
        <f>INDEX(Dashboard!$C$14:$C$21,MIN(8,INT((360-1)/60)+1))</f>
        <v/>
      </c>
      <c r="D364" s="62">
        <f>MIN(Dashboard!$C$9,INDEX(Settings!$B$19:$B$58,MIN(40,INT((360-1)/12)+1)))</f>
        <v/>
      </c>
      <c r="E364" s="62">
        <f>E363*(1+INDEX(Settings!$E$13:$E$16,MATCH(C364,Settings!$A$13:$A$16,0)))+D364</f>
        <v/>
      </c>
      <c r="F364" s="62">
        <f>F363*(1+INDEX(Settings!$I$13:$I$16,MATCH(C364,Settings!$A$13:$A$16,0)))+D364</f>
        <v/>
      </c>
      <c r="G364" s="62">
        <f>G363*(1+INDEX(Settings!$J$13:$J$16,MATCH(C364,Settings!$A$13:$A$16,0)))+D364</f>
        <v/>
      </c>
    </row>
    <row r="365">
      <c r="A365" s="45" t="n">
        <v>361</v>
      </c>
      <c r="B365" s="67">
        <f>Dashboard!$C$5+(361-1)/12</f>
        <v/>
      </c>
      <c r="C365" s="27">
        <f>INDEX(Dashboard!$C$14:$C$21,MIN(8,INT((361-1)/60)+1))</f>
        <v/>
      </c>
      <c r="D365" s="62">
        <f>MIN(Dashboard!$C$9,INDEX(Settings!$B$19:$B$58,MIN(40,INT((361-1)/12)+1)))</f>
        <v/>
      </c>
      <c r="E365" s="62">
        <f>E364*(1+INDEX(Settings!$E$13:$E$16,MATCH(C365,Settings!$A$13:$A$16,0)))+D365</f>
        <v/>
      </c>
      <c r="F365" s="62">
        <f>F364*(1+INDEX(Settings!$I$13:$I$16,MATCH(C365,Settings!$A$13:$A$16,0)))+D365</f>
        <v/>
      </c>
      <c r="G365" s="62">
        <f>G364*(1+INDEX(Settings!$J$13:$J$16,MATCH(C365,Settings!$A$13:$A$16,0)))+D365</f>
        <v/>
      </c>
    </row>
    <row r="366">
      <c r="A366" s="45" t="n">
        <v>362</v>
      </c>
      <c r="B366" s="67">
        <f>Dashboard!$C$5+(362-1)/12</f>
        <v/>
      </c>
      <c r="C366" s="27">
        <f>INDEX(Dashboard!$C$14:$C$21,MIN(8,INT((362-1)/60)+1))</f>
        <v/>
      </c>
      <c r="D366" s="62">
        <f>MIN(Dashboard!$C$9,INDEX(Settings!$B$19:$B$58,MIN(40,INT((362-1)/12)+1)))</f>
        <v/>
      </c>
      <c r="E366" s="62">
        <f>E365*(1+INDEX(Settings!$E$13:$E$16,MATCH(C366,Settings!$A$13:$A$16,0)))+D366</f>
        <v/>
      </c>
      <c r="F366" s="62">
        <f>F365*(1+INDEX(Settings!$I$13:$I$16,MATCH(C366,Settings!$A$13:$A$16,0)))+D366</f>
        <v/>
      </c>
      <c r="G366" s="62">
        <f>G365*(1+INDEX(Settings!$J$13:$J$16,MATCH(C366,Settings!$A$13:$A$16,0)))+D366</f>
        <v/>
      </c>
    </row>
    <row r="367">
      <c r="A367" s="45" t="n">
        <v>363</v>
      </c>
      <c r="B367" s="67">
        <f>Dashboard!$C$5+(363-1)/12</f>
        <v/>
      </c>
      <c r="C367" s="27">
        <f>INDEX(Dashboard!$C$14:$C$21,MIN(8,INT((363-1)/60)+1))</f>
        <v/>
      </c>
      <c r="D367" s="62">
        <f>MIN(Dashboard!$C$9,INDEX(Settings!$B$19:$B$58,MIN(40,INT((363-1)/12)+1)))</f>
        <v/>
      </c>
      <c r="E367" s="62">
        <f>E366*(1+INDEX(Settings!$E$13:$E$16,MATCH(C367,Settings!$A$13:$A$16,0)))+D367</f>
        <v/>
      </c>
      <c r="F367" s="62">
        <f>F366*(1+INDEX(Settings!$I$13:$I$16,MATCH(C367,Settings!$A$13:$A$16,0)))+D367</f>
        <v/>
      </c>
      <c r="G367" s="62">
        <f>G366*(1+INDEX(Settings!$J$13:$J$16,MATCH(C367,Settings!$A$13:$A$16,0)))+D367</f>
        <v/>
      </c>
    </row>
    <row r="368">
      <c r="A368" s="45" t="n">
        <v>364</v>
      </c>
      <c r="B368" s="67">
        <f>Dashboard!$C$5+(364-1)/12</f>
        <v/>
      </c>
      <c r="C368" s="27">
        <f>INDEX(Dashboard!$C$14:$C$21,MIN(8,INT((364-1)/60)+1))</f>
        <v/>
      </c>
      <c r="D368" s="62">
        <f>MIN(Dashboard!$C$9,INDEX(Settings!$B$19:$B$58,MIN(40,INT((364-1)/12)+1)))</f>
        <v/>
      </c>
      <c r="E368" s="62">
        <f>E367*(1+INDEX(Settings!$E$13:$E$16,MATCH(C368,Settings!$A$13:$A$16,0)))+D368</f>
        <v/>
      </c>
      <c r="F368" s="62">
        <f>F367*(1+INDEX(Settings!$I$13:$I$16,MATCH(C368,Settings!$A$13:$A$16,0)))+D368</f>
        <v/>
      </c>
      <c r="G368" s="62">
        <f>G367*(1+INDEX(Settings!$J$13:$J$16,MATCH(C368,Settings!$A$13:$A$16,0)))+D368</f>
        <v/>
      </c>
    </row>
    <row r="369">
      <c r="A369" s="45" t="n">
        <v>365</v>
      </c>
      <c r="B369" s="67">
        <f>Dashboard!$C$5+(365-1)/12</f>
        <v/>
      </c>
      <c r="C369" s="27">
        <f>INDEX(Dashboard!$C$14:$C$21,MIN(8,INT((365-1)/60)+1))</f>
        <v/>
      </c>
      <c r="D369" s="62">
        <f>MIN(Dashboard!$C$9,INDEX(Settings!$B$19:$B$58,MIN(40,INT((365-1)/12)+1)))</f>
        <v/>
      </c>
      <c r="E369" s="62">
        <f>E368*(1+INDEX(Settings!$E$13:$E$16,MATCH(C369,Settings!$A$13:$A$16,0)))+D369</f>
        <v/>
      </c>
      <c r="F369" s="62">
        <f>F368*(1+INDEX(Settings!$I$13:$I$16,MATCH(C369,Settings!$A$13:$A$16,0)))+D369</f>
        <v/>
      </c>
      <c r="G369" s="62">
        <f>G368*(1+INDEX(Settings!$J$13:$J$16,MATCH(C369,Settings!$A$13:$A$16,0)))+D369</f>
        <v/>
      </c>
    </row>
    <row r="370">
      <c r="A370" s="45" t="n">
        <v>366</v>
      </c>
      <c r="B370" s="67">
        <f>Dashboard!$C$5+(366-1)/12</f>
        <v/>
      </c>
      <c r="C370" s="27">
        <f>INDEX(Dashboard!$C$14:$C$21,MIN(8,INT((366-1)/60)+1))</f>
        <v/>
      </c>
      <c r="D370" s="62">
        <f>MIN(Dashboard!$C$9,INDEX(Settings!$B$19:$B$58,MIN(40,INT((366-1)/12)+1)))</f>
        <v/>
      </c>
      <c r="E370" s="62">
        <f>E369*(1+INDEX(Settings!$E$13:$E$16,MATCH(C370,Settings!$A$13:$A$16,0)))+D370</f>
        <v/>
      </c>
      <c r="F370" s="62">
        <f>F369*(1+INDEX(Settings!$I$13:$I$16,MATCH(C370,Settings!$A$13:$A$16,0)))+D370</f>
        <v/>
      </c>
      <c r="G370" s="62">
        <f>G369*(1+INDEX(Settings!$J$13:$J$16,MATCH(C370,Settings!$A$13:$A$16,0)))+D370</f>
        <v/>
      </c>
    </row>
    <row r="371">
      <c r="A371" s="45" t="n">
        <v>367</v>
      </c>
      <c r="B371" s="67">
        <f>Dashboard!$C$5+(367-1)/12</f>
        <v/>
      </c>
      <c r="C371" s="27">
        <f>INDEX(Dashboard!$C$14:$C$21,MIN(8,INT((367-1)/60)+1))</f>
        <v/>
      </c>
      <c r="D371" s="62">
        <f>MIN(Dashboard!$C$9,INDEX(Settings!$B$19:$B$58,MIN(40,INT((367-1)/12)+1)))</f>
        <v/>
      </c>
      <c r="E371" s="62">
        <f>E370*(1+INDEX(Settings!$E$13:$E$16,MATCH(C371,Settings!$A$13:$A$16,0)))+D371</f>
        <v/>
      </c>
      <c r="F371" s="62">
        <f>F370*(1+INDEX(Settings!$I$13:$I$16,MATCH(C371,Settings!$A$13:$A$16,0)))+D371</f>
        <v/>
      </c>
      <c r="G371" s="62">
        <f>G370*(1+INDEX(Settings!$J$13:$J$16,MATCH(C371,Settings!$A$13:$A$16,0)))+D371</f>
        <v/>
      </c>
    </row>
    <row r="372">
      <c r="A372" s="45" t="n">
        <v>368</v>
      </c>
      <c r="B372" s="67">
        <f>Dashboard!$C$5+(368-1)/12</f>
        <v/>
      </c>
      <c r="C372" s="27">
        <f>INDEX(Dashboard!$C$14:$C$21,MIN(8,INT((368-1)/60)+1))</f>
        <v/>
      </c>
      <c r="D372" s="62">
        <f>MIN(Dashboard!$C$9,INDEX(Settings!$B$19:$B$58,MIN(40,INT((368-1)/12)+1)))</f>
        <v/>
      </c>
      <c r="E372" s="62">
        <f>E371*(1+INDEX(Settings!$E$13:$E$16,MATCH(C372,Settings!$A$13:$A$16,0)))+D372</f>
        <v/>
      </c>
      <c r="F372" s="62">
        <f>F371*(1+INDEX(Settings!$I$13:$I$16,MATCH(C372,Settings!$A$13:$A$16,0)))+D372</f>
        <v/>
      </c>
      <c r="G372" s="62">
        <f>G371*(1+INDEX(Settings!$J$13:$J$16,MATCH(C372,Settings!$A$13:$A$16,0)))+D372</f>
        <v/>
      </c>
    </row>
    <row r="373">
      <c r="A373" s="45" t="n">
        <v>369</v>
      </c>
      <c r="B373" s="67">
        <f>Dashboard!$C$5+(369-1)/12</f>
        <v/>
      </c>
      <c r="C373" s="27">
        <f>INDEX(Dashboard!$C$14:$C$21,MIN(8,INT((369-1)/60)+1))</f>
        <v/>
      </c>
      <c r="D373" s="62">
        <f>MIN(Dashboard!$C$9,INDEX(Settings!$B$19:$B$58,MIN(40,INT((369-1)/12)+1)))</f>
        <v/>
      </c>
      <c r="E373" s="62">
        <f>E372*(1+INDEX(Settings!$E$13:$E$16,MATCH(C373,Settings!$A$13:$A$16,0)))+D373</f>
        <v/>
      </c>
      <c r="F373" s="62">
        <f>F372*(1+INDEX(Settings!$I$13:$I$16,MATCH(C373,Settings!$A$13:$A$16,0)))+D373</f>
        <v/>
      </c>
      <c r="G373" s="62">
        <f>G372*(1+INDEX(Settings!$J$13:$J$16,MATCH(C373,Settings!$A$13:$A$16,0)))+D373</f>
        <v/>
      </c>
    </row>
    <row r="374">
      <c r="A374" s="45" t="n">
        <v>370</v>
      </c>
      <c r="B374" s="67">
        <f>Dashboard!$C$5+(370-1)/12</f>
        <v/>
      </c>
      <c r="C374" s="27">
        <f>INDEX(Dashboard!$C$14:$C$21,MIN(8,INT((370-1)/60)+1))</f>
        <v/>
      </c>
      <c r="D374" s="62">
        <f>MIN(Dashboard!$C$9,INDEX(Settings!$B$19:$B$58,MIN(40,INT((370-1)/12)+1)))</f>
        <v/>
      </c>
      <c r="E374" s="62">
        <f>E373*(1+INDEX(Settings!$E$13:$E$16,MATCH(C374,Settings!$A$13:$A$16,0)))+D374</f>
        <v/>
      </c>
      <c r="F374" s="62">
        <f>F373*(1+INDEX(Settings!$I$13:$I$16,MATCH(C374,Settings!$A$13:$A$16,0)))+D374</f>
        <v/>
      </c>
      <c r="G374" s="62">
        <f>G373*(1+INDEX(Settings!$J$13:$J$16,MATCH(C374,Settings!$A$13:$A$16,0)))+D374</f>
        <v/>
      </c>
    </row>
    <row r="375">
      <c r="A375" s="45" t="n">
        <v>371</v>
      </c>
      <c r="B375" s="67">
        <f>Dashboard!$C$5+(371-1)/12</f>
        <v/>
      </c>
      <c r="C375" s="27">
        <f>INDEX(Dashboard!$C$14:$C$21,MIN(8,INT((371-1)/60)+1))</f>
        <v/>
      </c>
      <c r="D375" s="62">
        <f>MIN(Dashboard!$C$9,INDEX(Settings!$B$19:$B$58,MIN(40,INT((371-1)/12)+1)))</f>
        <v/>
      </c>
      <c r="E375" s="62">
        <f>E374*(1+INDEX(Settings!$E$13:$E$16,MATCH(C375,Settings!$A$13:$A$16,0)))+D375</f>
        <v/>
      </c>
      <c r="F375" s="62">
        <f>F374*(1+INDEX(Settings!$I$13:$I$16,MATCH(C375,Settings!$A$13:$A$16,0)))+D375</f>
        <v/>
      </c>
      <c r="G375" s="62">
        <f>G374*(1+INDEX(Settings!$J$13:$J$16,MATCH(C375,Settings!$A$13:$A$16,0)))+D375</f>
        <v/>
      </c>
    </row>
    <row r="376">
      <c r="A376" s="45" t="n">
        <v>372</v>
      </c>
      <c r="B376" s="67">
        <f>Dashboard!$C$5+(372-1)/12</f>
        <v/>
      </c>
      <c r="C376" s="27">
        <f>INDEX(Dashboard!$C$14:$C$21,MIN(8,INT((372-1)/60)+1))</f>
        <v/>
      </c>
      <c r="D376" s="62">
        <f>MIN(Dashboard!$C$9,INDEX(Settings!$B$19:$B$58,MIN(40,INT((372-1)/12)+1)))</f>
        <v/>
      </c>
      <c r="E376" s="62">
        <f>E375*(1+INDEX(Settings!$E$13:$E$16,MATCH(C376,Settings!$A$13:$A$16,0)))+D376</f>
        <v/>
      </c>
      <c r="F376" s="62">
        <f>F375*(1+INDEX(Settings!$I$13:$I$16,MATCH(C376,Settings!$A$13:$A$16,0)))+D376</f>
        <v/>
      </c>
      <c r="G376" s="62">
        <f>G375*(1+INDEX(Settings!$J$13:$J$16,MATCH(C376,Settings!$A$13:$A$16,0)))+D376</f>
        <v/>
      </c>
    </row>
    <row r="377">
      <c r="A377" s="45" t="n">
        <v>373</v>
      </c>
      <c r="B377" s="67">
        <f>Dashboard!$C$5+(373-1)/12</f>
        <v/>
      </c>
      <c r="C377" s="27">
        <f>INDEX(Dashboard!$C$14:$C$21,MIN(8,INT((373-1)/60)+1))</f>
        <v/>
      </c>
      <c r="D377" s="62">
        <f>MIN(Dashboard!$C$9,INDEX(Settings!$B$19:$B$58,MIN(40,INT((373-1)/12)+1)))</f>
        <v/>
      </c>
      <c r="E377" s="62">
        <f>E376*(1+INDEX(Settings!$E$13:$E$16,MATCH(C377,Settings!$A$13:$A$16,0)))+D377</f>
        <v/>
      </c>
      <c r="F377" s="62">
        <f>F376*(1+INDEX(Settings!$I$13:$I$16,MATCH(C377,Settings!$A$13:$A$16,0)))+D377</f>
        <v/>
      </c>
      <c r="G377" s="62">
        <f>G376*(1+INDEX(Settings!$J$13:$J$16,MATCH(C377,Settings!$A$13:$A$16,0)))+D377</f>
        <v/>
      </c>
    </row>
    <row r="378">
      <c r="A378" s="45" t="n">
        <v>374</v>
      </c>
      <c r="B378" s="67">
        <f>Dashboard!$C$5+(374-1)/12</f>
        <v/>
      </c>
      <c r="C378" s="27">
        <f>INDEX(Dashboard!$C$14:$C$21,MIN(8,INT((374-1)/60)+1))</f>
        <v/>
      </c>
      <c r="D378" s="62">
        <f>MIN(Dashboard!$C$9,INDEX(Settings!$B$19:$B$58,MIN(40,INT((374-1)/12)+1)))</f>
        <v/>
      </c>
      <c r="E378" s="62">
        <f>E377*(1+INDEX(Settings!$E$13:$E$16,MATCH(C378,Settings!$A$13:$A$16,0)))+D378</f>
        <v/>
      </c>
      <c r="F378" s="62">
        <f>F377*(1+INDEX(Settings!$I$13:$I$16,MATCH(C378,Settings!$A$13:$A$16,0)))+D378</f>
        <v/>
      </c>
      <c r="G378" s="62">
        <f>G377*(1+INDEX(Settings!$J$13:$J$16,MATCH(C378,Settings!$A$13:$A$16,0)))+D378</f>
        <v/>
      </c>
    </row>
    <row r="379">
      <c r="A379" s="45" t="n">
        <v>375</v>
      </c>
      <c r="B379" s="67">
        <f>Dashboard!$C$5+(375-1)/12</f>
        <v/>
      </c>
      <c r="C379" s="27">
        <f>INDEX(Dashboard!$C$14:$C$21,MIN(8,INT((375-1)/60)+1))</f>
        <v/>
      </c>
      <c r="D379" s="62">
        <f>MIN(Dashboard!$C$9,INDEX(Settings!$B$19:$B$58,MIN(40,INT((375-1)/12)+1)))</f>
        <v/>
      </c>
      <c r="E379" s="62">
        <f>E378*(1+INDEX(Settings!$E$13:$E$16,MATCH(C379,Settings!$A$13:$A$16,0)))+D379</f>
        <v/>
      </c>
      <c r="F379" s="62">
        <f>F378*(1+INDEX(Settings!$I$13:$I$16,MATCH(C379,Settings!$A$13:$A$16,0)))+D379</f>
        <v/>
      </c>
      <c r="G379" s="62">
        <f>G378*(1+INDEX(Settings!$J$13:$J$16,MATCH(C379,Settings!$A$13:$A$16,0)))+D379</f>
        <v/>
      </c>
    </row>
    <row r="380">
      <c r="A380" s="45" t="n">
        <v>376</v>
      </c>
      <c r="B380" s="67">
        <f>Dashboard!$C$5+(376-1)/12</f>
        <v/>
      </c>
      <c r="C380" s="27">
        <f>INDEX(Dashboard!$C$14:$C$21,MIN(8,INT((376-1)/60)+1))</f>
        <v/>
      </c>
      <c r="D380" s="62">
        <f>MIN(Dashboard!$C$9,INDEX(Settings!$B$19:$B$58,MIN(40,INT((376-1)/12)+1)))</f>
        <v/>
      </c>
      <c r="E380" s="62">
        <f>E379*(1+INDEX(Settings!$E$13:$E$16,MATCH(C380,Settings!$A$13:$A$16,0)))+D380</f>
        <v/>
      </c>
      <c r="F380" s="62">
        <f>F379*(1+INDEX(Settings!$I$13:$I$16,MATCH(C380,Settings!$A$13:$A$16,0)))+D380</f>
        <v/>
      </c>
      <c r="G380" s="62">
        <f>G379*(1+INDEX(Settings!$J$13:$J$16,MATCH(C380,Settings!$A$13:$A$16,0)))+D380</f>
        <v/>
      </c>
    </row>
    <row r="381">
      <c r="A381" s="45" t="n">
        <v>377</v>
      </c>
      <c r="B381" s="67">
        <f>Dashboard!$C$5+(377-1)/12</f>
        <v/>
      </c>
      <c r="C381" s="27">
        <f>INDEX(Dashboard!$C$14:$C$21,MIN(8,INT((377-1)/60)+1))</f>
        <v/>
      </c>
      <c r="D381" s="62">
        <f>MIN(Dashboard!$C$9,INDEX(Settings!$B$19:$B$58,MIN(40,INT((377-1)/12)+1)))</f>
        <v/>
      </c>
      <c r="E381" s="62">
        <f>E380*(1+INDEX(Settings!$E$13:$E$16,MATCH(C381,Settings!$A$13:$A$16,0)))+D381</f>
        <v/>
      </c>
      <c r="F381" s="62">
        <f>F380*(1+INDEX(Settings!$I$13:$I$16,MATCH(C381,Settings!$A$13:$A$16,0)))+D381</f>
        <v/>
      </c>
      <c r="G381" s="62">
        <f>G380*(1+INDEX(Settings!$J$13:$J$16,MATCH(C381,Settings!$A$13:$A$16,0)))+D381</f>
        <v/>
      </c>
    </row>
    <row r="382">
      <c r="A382" s="45" t="n">
        <v>378</v>
      </c>
      <c r="B382" s="67">
        <f>Dashboard!$C$5+(378-1)/12</f>
        <v/>
      </c>
      <c r="C382" s="27">
        <f>INDEX(Dashboard!$C$14:$C$21,MIN(8,INT((378-1)/60)+1))</f>
        <v/>
      </c>
      <c r="D382" s="62">
        <f>MIN(Dashboard!$C$9,INDEX(Settings!$B$19:$B$58,MIN(40,INT((378-1)/12)+1)))</f>
        <v/>
      </c>
      <c r="E382" s="62">
        <f>E381*(1+INDEX(Settings!$E$13:$E$16,MATCH(C382,Settings!$A$13:$A$16,0)))+D382</f>
        <v/>
      </c>
      <c r="F382" s="62">
        <f>F381*(1+INDEX(Settings!$I$13:$I$16,MATCH(C382,Settings!$A$13:$A$16,0)))+D382</f>
        <v/>
      </c>
      <c r="G382" s="62">
        <f>G381*(1+INDEX(Settings!$J$13:$J$16,MATCH(C382,Settings!$A$13:$A$16,0)))+D382</f>
        <v/>
      </c>
    </row>
    <row r="383">
      <c r="A383" s="45" t="n">
        <v>379</v>
      </c>
      <c r="B383" s="67">
        <f>Dashboard!$C$5+(379-1)/12</f>
        <v/>
      </c>
      <c r="C383" s="27">
        <f>INDEX(Dashboard!$C$14:$C$21,MIN(8,INT((379-1)/60)+1))</f>
        <v/>
      </c>
      <c r="D383" s="62">
        <f>MIN(Dashboard!$C$9,INDEX(Settings!$B$19:$B$58,MIN(40,INT((379-1)/12)+1)))</f>
        <v/>
      </c>
      <c r="E383" s="62">
        <f>E382*(1+INDEX(Settings!$E$13:$E$16,MATCH(C383,Settings!$A$13:$A$16,0)))+D383</f>
        <v/>
      </c>
      <c r="F383" s="62">
        <f>F382*(1+INDEX(Settings!$I$13:$I$16,MATCH(C383,Settings!$A$13:$A$16,0)))+D383</f>
        <v/>
      </c>
      <c r="G383" s="62">
        <f>G382*(1+INDEX(Settings!$J$13:$J$16,MATCH(C383,Settings!$A$13:$A$16,0)))+D383</f>
        <v/>
      </c>
    </row>
    <row r="384">
      <c r="A384" s="45" t="n">
        <v>380</v>
      </c>
      <c r="B384" s="67">
        <f>Dashboard!$C$5+(380-1)/12</f>
        <v/>
      </c>
      <c r="C384" s="27">
        <f>INDEX(Dashboard!$C$14:$C$21,MIN(8,INT((380-1)/60)+1))</f>
        <v/>
      </c>
      <c r="D384" s="62">
        <f>MIN(Dashboard!$C$9,INDEX(Settings!$B$19:$B$58,MIN(40,INT((380-1)/12)+1)))</f>
        <v/>
      </c>
      <c r="E384" s="62">
        <f>E383*(1+INDEX(Settings!$E$13:$E$16,MATCH(C384,Settings!$A$13:$A$16,0)))+D384</f>
        <v/>
      </c>
      <c r="F384" s="62">
        <f>F383*(1+INDEX(Settings!$I$13:$I$16,MATCH(C384,Settings!$A$13:$A$16,0)))+D384</f>
        <v/>
      </c>
      <c r="G384" s="62">
        <f>G383*(1+INDEX(Settings!$J$13:$J$16,MATCH(C384,Settings!$A$13:$A$16,0)))+D384</f>
        <v/>
      </c>
    </row>
    <row r="385">
      <c r="A385" s="45" t="n">
        <v>381</v>
      </c>
      <c r="B385" s="67">
        <f>Dashboard!$C$5+(381-1)/12</f>
        <v/>
      </c>
      <c r="C385" s="27">
        <f>INDEX(Dashboard!$C$14:$C$21,MIN(8,INT((381-1)/60)+1))</f>
        <v/>
      </c>
      <c r="D385" s="62">
        <f>MIN(Dashboard!$C$9,INDEX(Settings!$B$19:$B$58,MIN(40,INT((381-1)/12)+1)))</f>
        <v/>
      </c>
      <c r="E385" s="62">
        <f>E384*(1+INDEX(Settings!$E$13:$E$16,MATCH(C385,Settings!$A$13:$A$16,0)))+D385</f>
        <v/>
      </c>
      <c r="F385" s="62">
        <f>F384*(1+INDEX(Settings!$I$13:$I$16,MATCH(C385,Settings!$A$13:$A$16,0)))+D385</f>
        <v/>
      </c>
      <c r="G385" s="62">
        <f>G384*(1+INDEX(Settings!$J$13:$J$16,MATCH(C385,Settings!$A$13:$A$16,0)))+D385</f>
        <v/>
      </c>
    </row>
    <row r="386">
      <c r="A386" s="45" t="n">
        <v>382</v>
      </c>
      <c r="B386" s="67">
        <f>Dashboard!$C$5+(382-1)/12</f>
        <v/>
      </c>
      <c r="C386" s="27">
        <f>INDEX(Dashboard!$C$14:$C$21,MIN(8,INT((382-1)/60)+1))</f>
        <v/>
      </c>
      <c r="D386" s="62">
        <f>MIN(Dashboard!$C$9,INDEX(Settings!$B$19:$B$58,MIN(40,INT((382-1)/12)+1)))</f>
        <v/>
      </c>
      <c r="E386" s="62">
        <f>E385*(1+INDEX(Settings!$E$13:$E$16,MATCH(C386,Settings!$A$13:$A$16,0)))+D386</f>
        <v/>
      </c>
      <c r="F386" s="62">
        <f>F385*(1+INDEX(Settings!$I$13:$I$16,MATCH(C386,Settings!$A$13:$A$16,0)))+D386</f>
        <v/>
      </c>
      <c r="G386" s="62">
        <f>G385*(1+INDEX(Settings!$J$13:$J$16,MATCH(C386,Settings!$A$13:$A$16,0)))+D386</f>
        <v/>
      </c>
    </row>
    <row r="387">
      <c r="A387" s="45" t="n">
        <v>383</v>
      </c>
      <c r="B387" s="67">
        <f>Dashboard!$C$5+(383-1)/12</f>
        <v/>
      </c>
      <c r="C387" s="27">
        <f>INDEX(Dashboard!$C$14:$C$21,MIN(8,INT((383-1)/60)+1))</f>
        <v/>
      </c>
      <c r="D387" s="62">
        <f>MIN(Dashboard!$C$9,INDEX(Settings!$B$19:$B$58,MIN(40,INT((383-1)/12)+1)))</f>
        <v/>
      </c>
      <c r="E387" s="62">
        <f>E386*(1+INDEX(Settings!$E$13:$E$16,MATCH(C387,Settings!$A$13:$A$16,0)))+D387</f>
        <v/>
      </c>
      <c r="F387" s="62">
        <f>F386*(1+INDEX(Settings!$I$13:$I$16,MATCH(C387,Settings!$A$13:$A$16,0)))+D387</f>
        <v/>
      </c>
      <c r="G387" s="62">
        <f>G386*(1+INDEX(Settings!$J$13:$J$16,MATCH(C387,Settings!$A$13:$A$16,0)))+D387</f>
        <v/>
      </c>
    </row>
    <row r="388">
      <c r="A388" s="45" t="n">
        <v>384</v>
      </c>
      <c r="B388" s="67">
        <f>Dashboard!$C$5+(384-1)/12</f>
        <v/>
      </c>
      <c r="C388" s="27">
        <f>INDEX(Dashboard!$C$14:$C$21,MIN(8,INT((384-1)/60)+1))</f>
        <v/>
      </c>
      <c r="D388" s="62">
        <f>MIN(Dashboard!$C$9,INDEX(Settings!$B$19:$B$58,MIN(40,INT((384-1)/12)+1)))</f>
        <v/>
      </c>
      <c r="E388" s="62">
        <f>E387*(1+INDEX(Settings!$E$13:$E$16,MATCH(C388,Settings!$A$13:$A$16,0)))+D388</f>
        <v/>
      </c>
      <c r="F388" s="62">
        <f>F387*(1+INDEX(Settings!$I$13:$I$16,MATCH(C388,Settings!$A$13:$A$16,0)))+D388</f>
        <v/>
      </c>
      <c r="G388" s="62">
        <f>G387*(1+INDEX(Settings!$J$13:$J$16,MATCH(C388,Settings!$A$13:$A$16,0)))+D388</f>
        <v/>
      </c>
    </row>
    <row r="389">
      <c r="A389" s="45" t="n">
        <v>385</v>
      </c>
      <c r="B389" s="67">
        <f>Dashboard!$C$5+(385-1)/12</f>
        <v/>
      </c>
      <c r="C389" s="27">
        <f>INDEX(Dashboard!$C$14:$C$21,MIN(8,INT((385-1)/60)+1))</f>
        <v/>
      </c>
      <c r="D389" s="62">
        <f>MIN(Dashboard!$C$9,INDEX(Settings!$B$19:$B$58,MIN(40,INT((385-1)/12)+1)))</f>
        <v/>
      </c>
      <c r="E389" s="62">
        <f>E388*(1+INDEX(Settings!$E$13:$E$16,MATCH(C389,Settings!$A$13:$A$16,0)))+D389</f>
        <v/>
      </c>
      <c r="F389" s="62">
        <f>F388*(1+INDEX(Settings!$I$13:$I$16,MATCH(C389,Settings!$A$13:$A$16,0)))+D389</f>
        <v/>
      </c>
      <c r="G389" s="62">
        <f>G388*(1+INDEX(Settings!$J$13:$J$16,MATCH(C389,Settings!$A$13:$A$16,0)))+D389</f>
        <v/>
      </c>
    </row>
    <row r="390">
      <c r="A390" s="45" t="n">
        <v>386</v>
      </c>
      <c r="B390" s="67">
        <f>Dashboard!$C$5+(386-1)/12</f>
        <v/>
      </c>
      <c r="C390" s="27">
        <f>INDEX(Dashboard!$C$14:$C$21,MIN(8,INT((386-1)/60)+1))</f>
        <v/>
      </c>
      <c r="D390" s="62">
        <f>MIN(Dashboard!$C$9,INDEX(Settings!$B$19:$B$58,MIN(40,INT((386-1)/12)+1)))</f>
        <v/>
      </c>
      <c r="E390" s="62">
        <f>E389*(1+INDEX(Settings!$E$13:$E$16,MATCH(C390,Settings!$A$13:$A$16,0)))+D390</f>
        <v/>
      </c>
      <c r="F390" s="62">
        <f>F389*(1+INDEX(Settings!$I$13:$I$16,MATCH(C390,Settings!$A$13:$A$16,0)))+D390</f>
        <v/>
      </c>
      <c r="G390" s="62">
        <f>G389*(1+INDEX(Settings!$J$13:$J$16,MATCH(C390,Settings!$A$13:$A$16,0)))+D390</f>
        <v/>
      </c>
    </row>
    <row r="391">
      <c r="A391" s="45" t="n">
        <v>387</v>
      </c>
      <c r="B391" s="67">
        <f>Dashboard!$C$5+(387-1)/12</f>
        <v/>
      </c>
      <c r="C391" s="27">
        <f>INDEX(Dashboard!$C$14:$C$21,MIN(8,INT((387-1)/60)+1))</f>
        <v/>
      </c>
      <c r="D391" s="62">
        <f>MIN(Dashboard!$C$9,INDEX(Settings!$B$19:$B$58,MIN(40,INT((387-1)/12)+1)))</f>
        <v/>
      </c>
      <c r="E391" s="62">
        <f>E390*(1+INDEX(Settings!$E$13:$E$16,MATCH(C391,Settings!$A$13:$A$16,0)))+D391</f>
        <v/>
      </c>
      <c r="F391" s="62">
        <f>F390*(1+INDEX(Settings!$I$13:$I$16,MATCH(C391,Settings!$A$13:$A$16,0)))+D391</f>
        <v/>
      </c>
      <c r="G391" s="62">
        <f>G390*(1+INDEX(Settings!$J$13:$J$16,MATCH(C391,Settings!$A$13:$A$16,0)))+D391</f>
        <v/>
      </c>
    </row>
    <row r="392">
      <c r="A392" s="45" t="n">
        <v>388</v>
      </c>
      <c r="B392" s="67">
        <f>Dashboard!$C$5+(388-1)/12</f>
        <v/>
      </c>
      <c r="C392" s="27">
        <f>INDEX(Dashboard!$C$14:$C$21,MIN(8,INT((388-1)/60)+1))</f>
        <v/>
      </c>
      <c r="D392" s="62">
        <f>MIN(Dashboard!$C$9,INDEX(Settings!$B$19:$B$58,MIN(40,INT((388-1)/12)+1)))</f>
        <v/>
      </c>
      <c r="E392" s="62">
        <f>E391*(1+INDEX(Settings!$E$13:$E$16,MATCH(C392,Settings!$A$13:$A$16,0)))+D392</f>
        <v/>
      </c>
      <c r="F392" s="62">
        <f>F391*(1+INDEX(Settings!$I$13:$I$16,MATCH(C392,Settings!$A$13:$A$16,0)))+D392</f>
        <v/>
      </c>
      <c r="G392" s="62">
        <f>G391*(1+INDEX(Settings!$J$13:$J$16,MATCH(C392,Settings!$A$13:$A$16,0)))+D392</f>
        <v/>
      </c>
    </row>
    <row r="393">
      <c r="A393" s="45" t="n">
        <v>389</v>
      </c>
      <c r="B393" s="67">
        <f>Dashboard!$C$5+(389-1)/12</f>
        <v/>
      </c>
      <c r="C393" s="27">
        <f>INDEX(Dashboard!$C$14:$C$21,MIN(8,INT((389-1)/60)+1))</f>
        <v/>
      </c>
      <c r="D393" s="62">
        <f>MIN(Dashboard!$C$9,INDEX(Settings!$B$19:$B$58,MIN(40,INT((389-1)/12)+1)))</f>
        <v/>
      </c>
      <c r="E393" s="62">
        <f>E392*(1+INDEX(Settings!$E$13:$E$16,MATCH(C393,Settings!$A$13:$A$16,0)))+D393</f>
        <v/>
      </c>
      <c r="F393" s="62">
        <f>F392*(1+INDEX(Settings!$I$13:$I$16,MATCH(C393,Settings!$A$13:$A$16,0)))+D393</f>
        <v/>
      </c>
      <c r="G393" s="62">
        <f>G392*(1+INDEX(Settings!$J$13:$J$16,MATCH(C393,Settings!$A$13:$A$16,0)))+D393</f>
        <v/>
      </c>
    </row>
    <row r="394">
      <c r="A394" s="45" t="n">
        <v>390</v>
      </c>
      <c r="B394" s="67">
        <f>Dashboard!$C$5+(390-1)/12</f>
        <v/>
      </c>
      <c r="C394" s="27">
        <f>INDEX(Dashboard!$C$14:$C$21,MIN(8,INT((390-1)/60)+1))</f>
        <v/>
      </c>
      <c r="D394" s="62">
        <f>MIN(Dashboard!$C$9,INDEX(Settings!$B$19:$B$58,MIN(40,INT((390-1)/12)+1)))</f>
        <v/>
      </c>
      <c r="E394" s="62">
        <f>E393*(1+INDEX(Settings!$E$13:$E$16,MATCH(C394,Settings!$A$13:$A$16,0)))+D394</f>
        <v/>
      </c>
      <c r="F394" s="62">
        <f>F393*(1+INDEX(Settings!$I$13:$I$16,MATCH(C394,Settings!$A$13:$A$16,0)))+D394</f>
        <v/>
      </c>
      <c r="G394" s="62">
        <f>G393*(1+INDEX(Settings!$J$13:$J$16,MATCH(C394,Settings!$A$13:$A$16,0)))+D394</f>
        <v/>
      </c>
    </row>
    <row r="395">
      <c r="A395" s="45" t="n">
        <v>391</v>
      </c>
      <c r="B395" s="67">
        <f>Dashboard!$C$5+(391-1)/12</f>
        <v/>
      </c>
      <c r="C395" s="27">
        <f>INDEX(Dashboard!$C$14:$C$21,MIN(8,INT((391-1)/60)+1))</f>
        <v/>
      </c>
      <c r="D395" s="62">
        <f>MIN(Dashboard!$C$9,INDEX(Settings!$B$19:$B$58,MIN(40,INT((391-1)/12)+1)))</f>
        <v/>
      </c>
      <c r="E395" s="62">
        <f>E394*(1+INDEX(Settings!$E$13:$E$16,MATCH(C395,Settings!$A$13:$A$16,0)))+D395</f>
        <v/>
      </c>
      <c r="F395" s="62">
        <f>F394*(1+INDEX(Settings!$I$13:$I$16,MATCH(C395,Settings!$A$13:$A$16,0)))+D395</f>
        <v/>
      </c>
      <c r="G395" s="62">
        <f>G394*(1+INDEX(Settings!$J$13:$J$16,MATCH(C395,Settings!$A$13:$A$16,0)))+D395</f>
        <v/>
      </c>
    </row>
    <row r="396">
      <c r="A396" s="45" t="n">
        <v>392</v>
      </c>
      <c r="B396" s="67">
        <f>Dashboard!$C$5+(392-1)/12</f>
        <v/>
      </c>
      <c r="C396" s="27">
        <f>INDEX(Dashboard!$C$14:$C$21,MIN(8,INT((392-1)/60)+1))</f>
        <v/>
      </c>
      <c r="D396" s="62">
        <f>MIN(Dashboard!$C$9,INDEX(Settings!$B$19:$B$58,MIN(40,INT((392-1)/12)+1)))</f>
        <v/>
      </c>
      <c r="E396" s="62">
        <f>E395*(1+INDEX(Settings!$E$13:$E$16,MATCH(C396,Settings!$A$13:$A$16,0)))+D396</f>
        <v/>
      </c>
      <c r="F396" s="62">
        <f>F395*(1+INDEX(Settings!$I$13:$I$16,MATCH(C396,Settings!$A$13:$A$16,0)))+D396</f>
        <v/>
      </c>
      <c r="G396" s="62">
        <f>G395*(1+INDEX(Settings!$J$13:$J$16,MATCH(C396,Settings!$A$13:$A$16,0)))+D396</f>
        <v/>
      </c>
    </row>
    <row r="397">
      <c r="A397" s="45" t="n">
        <v>393</v>
      </c>
      <c r="B397" s="67">
        <f>Dashboard!$C$5+(393-1)/12</f>
        <v/>
      </c>
      <c r="C397" s="27">
        <f>INDEX(Dashboard!$C$14:$C$21,MIN(8,INT((393-1)/60)+1))</f>
        <v/>
      </c>
      <c r="D397" s="62">
        <f>MIN(Dashboard!$C$9,INDEX(Settings!$B$19:$B$58,MIN(40,INT((393-1)/12)+1)))</f>
        <v/>
      </c>
      <c r="E397" s="62">
        <f>E396*(1+INDEX(Settings!$E$13:$E$16,MATCH(C397,Settings!$A$13:$A$16,0)))+D397</f>
        <v/>
      </c>
      <c r="F397" s="62">
        <f>F396*(1+INDEX(Settings!$I$13:$I$16,MATCH(C397,Settings!$A$13:$A$16,0)))+D397</f>
        <v/>
      </c>
      <c r="G397" s="62">
        <f>G396*(1+INDEX(Settings!$J$13:$J$16,MATCH(C397,Settings!$A$13:$A$16,0)))+D397</f>
        <v/>
      </c>
    </row>
    <row r="398">
      <c r="A398" s="45" t="n">
        <v>394</v>
      </c>
      <c r="B398" s="67">
        <f>Dashboard!$C$5+(394-1)/12</f>
        <v/>
      </c>
      <c r="C398" s="27">
        <f>INDEX(Dashboard!$C$14:$C$21,MIN(8,INT((394-1)/60)+1))</f>
        <v/>
      </c>
      <c r="D398" s="62">
        <f>MIN(Dashboard!$C$9,INDEX(Settings!$B$19:$B$58,MIN(40,INT((394-1)/12)+1)))</f>
        <v/>
      </c>
      <c r="E398" s="62">
        <f>E397*(1+INDEX(Settings!$E$13:$E$16,MATCH(C398,Settings!$A$13:$A$16,0)))+D398</f>
        <v/>
      </c>
      <c r="F398" s="62">
        <f>F397*(1+INDEX(Settings!$I$13:$I$16,MATCH(C398,Settings!$A$13:$A$16,0)))+D398</f>
        <v/>
      </c>
      <c r="G398" s="62">
        <f>G397*(1+INDEX(Settings!$J$13:$J$16,MATCH(C398,Settings!$A$13:$A$16,0)))+D398</f>
        <v/>
      </c>
    </row>
    <row r="399">
      <c r="A399" s="45" t="n">
        <v>395</v>
      </c>
      <c r="B399" s="67">
        <f>Dashboard!$C$5+(395-1)/12</f>
        <v/>
      </c>
      <c r="C399" s="27">
        <f>INDEX(Dashboard!$C$14:$C$21,MIN(8,INT((395-1)/60)+1))</f>
        <v/>
      </c>
      <c r="D399" s="62">
        <f>MIN(Dashboard!$C$9,INDEX(Settings!$B$19:$B$58,MIN(40,INT((395-1)/12)+1)))</f>
        <v/>
      </c>
      <c r="E399" s="62">
        <f>E398*(1+INDEX(Settings!$E$13:$E$16,MATCH(C399,Settings!$A$13:$A$16,0)))+D399</f>
        <v/>
      </c>
      <c r="F399" s="62">
        <f>F398*(1+INDEX(Settings!$I$13:$I$16,MATCH(C399,Settings!$A$13:$A$16,0)))+D399</f>
        <v/>
      </c>
      <c r="G399" s="62">
        <f>G398*(1+INDEX(Settings!$J$13:$J$16,MATCH(C399,Settings!$A$13:$A$16,0)))+D399</f>
        <v/>
      </c>
    </row>
    <row r="400">
      <c r="A400" s="45" t="n">
        <v>396</v>
      </c>
      <c r="B400" s="67">
        <f>Dashboard!$C$5+(396-1)/12</f>
        <v/>
      </c>
      <c r="C400" s="27">
        <f>INDEX(Dashboard!$C$14:$C$21,MIN(8,INT((396-1)/60)+1))</f>
        <v/>
      </c>
      <c r="D400" s="62">
        <f>MIN(Dashboard!$C$9,INDEX(Settings!$B$19:$B$58,MIN(40,INT((396-1)/12)+1)))</f>
        <v/>
      </c>
      <c r="E400" s="62">
        <f>E399*(1+INDEX(Settings!$E$13:$E$16,MATCH(C400,Settings!$A$13:$A$16,0)))+D400</f>
        <v/>
      </c>
      <c r="F400" s="62">
        <f>F399*(1+INDEX(Settings!$I$13:$I$16,MATCH(C400,Settings!$A$13:$A$16,0)))+D400</f>
        <v/>
      </c>
      <c r="G400" s="62">
        <f>G399*(1+INDEX(Settings!$J$13:$J$16,MATCH(C400,Settings!$A$13:$A$16,0)))+D400</f>
        <v/>
      </c>
    </row>
    <row r="401">
      <c r="A401" s="45" t="n">
        <v>397</v>
      </c>
      <c r="B401" s="67">
        <f>Dashboard!$C$5+(397-1)/12</f>
        <v/>
      </c>
      <c r="C401" s="27">
        <f>INDEX(Dashboard!$C$14:$C$21,MIN(8,INT((397-1)/60)+1))</f>
        <v/>
      </c>
      <c r="D401" s="62">
        <f>MIN(Dashboard!$C$9,INDEX(Settings!$B$19:$B$58,MIN(40,INT((397-1)/12)+1)))</f>
        <v/>
      </c>
      <c r="E401" s="62">
        <f>E400*(1+INDEX(Settings!$E$13:$E$16,MATCH(C401,Settings!$A$13:$A$16,0)))+D401</f>
        <v/>
      </c>
      <c r="F401" s="62">
        <f>F400*(1+INDEX(Settings!$I$13:$I$16,MATCH(C401,Settings!$A$13:$A$16,0)))+D401</f>
        <v/>
      </c>
      <c r="G401" s="62">
        <f>G400*(1+INDEX(Settings!$J$13:$J$16,MATCH(C401,Settings!$A$13:$A$16,0)))+D401</f>
        <v/>
      </c>
    </row>
    <row r="402">
      <c r="A402" s="45" t="n">
        <v>398</v>
      </c>
      <c r="B402" s="67">
        <f>Dashboard!$C$5+(398-1)/12</f>
        <v/>
      </c>
      <c r="C402" s="27">
        <f>INDEX(Dashboard!$C$14:$C$21,MIN(8,INT((398-1)/60)+1))</f>
        <v/>
      </c>
      <c r="D402" s="62">
        <f>MIN(Dashboard!$C$9,INDEX(Settings!$B$19:$B$58,MIN(40,INT((398-1)/12)+1)))</f>
        <v/>
      </c>
      <c r="E402" s="62">
        <f>E401*(1+INDEX(Settings!$E$13:$E$16,MATCH(C402,Settings!$A$13:$A$16,0)))+D402</f>
        <v/>
      </c>
      <c r="F402" s="62">
        <f>F401*(1+INDEX(Settings!$I$13:$I$16,MATCH(C402,Settings!$A$13:$A$16,0)))+D402</f>
        <v/>
      </c>
      <c r="G402" s="62">
        <f>G401*(1+INDEX(Settings!$J$13:$J$16,MATCH(C402,Settings!$A$13:$A$16,0)))+D402</f>
        <v/>
      </c>
    </row>
    <row r="403">
      <c r="A403" s="45" t="n">
        <v>399</v>
      </c>
      <c r="B403" s="67">
        <f>Dashboard!$C$5+(399-1)/12</f>
        <v/>
      </c>
      <c r="C403" s="27">
        <f>INDEX(Dashboard!$C$14:$C$21,MIN(8,INT((399-1)/60)+1))</f>
        <v/>
      </c>
      <c r="D403" s="62">
        <f>MIN(Dashboard!$C$9,INDEX(Settings!$B$19:$B$58,MIN(40,INT((399-1)/12)+1)))</f>
        <v/>
      </c>
      <c r="E403" s="62">
        <f>E402*(1+INDEX(Settings!$E$13:$E$16,MATCH(C403,Settings!$A$13:$A$16,0)))+D403</f>
        <v/>
      </c>
      <c r="F403" s="62">
        <f>F402*(1+INDEX(Settings!$I$13:$I$16,MATCH(C403,Settings!$A$13:$A$16,0)))+D403</f>
        <v/>
      </c>
      <c r="G403" s="62">
        <f>G402*(1+INDEX(Settings!$J$13:$J$16,MATCH(C403,Settings!$A$13:$A$16,0)))+D403</f>
        <v/>
      </c>
    </row>
    <row r="404">
      <c r="A404" s="45" t="n">
        <v>400</v>
      </c>
      <c r="B404" s="67">
        <f>Dashboard!$C$5+(400-1)/12</f>
        <v/>
      </c>
      <c r="C404" s="27">
        <f>INDEX(Dashboard!$C$14:$C$21,MIN(8,INT((400-1)/60)+1))</f>
        <v/>
      </c>
      <c r="D404" s="62">
        <f>MIN(Dashboard!$C$9,INDEX(Settings!$B$19:$B$58,MIN(40,INT((400-1)/12)+1)))</f>
        <v/>
      </c>
      <c r="E404" s="62">
        <f>E403*(1+INDEX(Settings!$E$13:$E$16,MATCH(C404,Settings!$A$13:$A$16,0)))+D404</f>
        <v/>
      </c>
      <c r="F404" s="62">
        <f>F403*(1+INDEX(Settings!$I$13:$I$16,MATCH(C404,Settings!$A$13:$A$16,0)))+D404</f>
        <v/>
      </c>
      <c r="G404" s="62">
        <f>G403*(1+INDEX(Settings!$J$13:$J$16,MATCH(C404,Settings!$A$13:$A$16,0)))+D404</f>
        <v/>
      </c>
    </row>
    <row r="405">
      <c r="A405" s="45" t="n">
        <v>401</v>
      </c>
      <c r="B405" s="67">
        <f>Dashboard!$C$5+(401-1)/12</f>
        <v/>
      </c>
      <c r="C405" s="27">
        <f>INDEX(Dashboard!$C$14:$C$21,MIN(8,INT((401-1)/60)+1))</f>
        <v/>
      </c>
      <c r="D405" s="62">
        <f>MIN(Dashboard!$C$9,INDEX(Settings!$B$19:$B$58,MIN(40,INT((401-1)/12)+1)))</f>
        <v/>
      </c>
      <c r="E405" s="62">
        <f>E404*(1+INDEX(Settings!$E$13:$E$16,MATCH(C405,Settings!$A$13:$A$16,0)))+D405</f>
        <v/>
      </c>
      <c r="F405" s="62">
        <f>F404*(1+INDEX(Settings!$I$13:$I$16,MATCH(C405,Settings!$A$13:$A$16,0)))+D405</f>
        <v/>
      </c>
      <c r="G405" s="62">
        <f>G404*(1+INDEX(Settings!$J$13:$J$16,MATCH(C405,Settings!$A$13:$A$16,0)))+D405</f>
        <v/>
      </c>
    </row>
    <row r="406">
      <c r="A406" s="45" t="n">
        <v>402</v>
      </c>
      <c r="B406" s="67">
        <f>Dashboard!$C$5+(402-1)/12</f>
        <v/>
      </c>
      <c r="C406" s="27">
        <f>INDEX(Dashboard!$C$14:$C$21,MIN(8,INT((402-1)/60)+1))</f>
        <v/>
      </c>
      <c r="D406" s="62">
        <f>MIN(Dashboard!$C$9,INDEX(Settings!$B$19:$B$58,MIN(40,INT((402-1)/12)+1)))</f>
        <v/>
      </c>
      <c r="E406" s="62">
        <f>E405*(1+INDEX(Settings!$E$13:$E$16,MATCH(C406,Settings!$A$13:$A$16,0)))+D406</f>
        <v/>
      </c>
      <c r="F406" s="62">
        <f>F405*(1+INDEX(Settings!$I$13:$I$16,MATCH(C406,Settings!$A$13:$A$16,0)))+D406</f>
        <v/>
      </c>
      <c r="G406" s="62">
        <f>G405*(1+INDEX(Settings!$J$13:$J$16,MATCH(C406,Settings!$A$13:$A$16,0)))+D406</f>
        <v/>
      </c>
    </row>
    <row r="407">
      <c r="A407" s="45" t="n">
        <v>403</v>
      </c>
      <c r="B407" s="67">
        <f>Dashboard!$C$5+(403-1)/12</f>
        <v/>
      </c>
      <c r="C407" s="27">
        <f>INDEX(Dashboard!$C$14:$C$21,MIN(8,INT((403-1)/60)+1))</f>
        <v/>
      </c>
      <c r="D407" s="62">
        <f>MIN(Dashboard!$C$9,INDEX(Settings!$B$19:$B$58,MIN(40,INT((403-1)/12)+1)))</f>
        <v/>
      </c>
      <c r="E407" s="62">
        <f>E406*(1+INDEX(Settings!$E$13:$E$16,MATCH(C407,Settings!$A$13:$A$16,0)))+D407</f>
        <v/>
      </c>
      <c r="F407" s="62">
        <f>F406*(1+INDEX(Settings!$I$13:$I$16,MATCH(C407,Settings!$A$13:$A$16,0)))+D407</f>
        <v/>
      </c>
      <c r="G407" s="62">
        <f>G406*(1+INDEX(Settings!$J$13:$J$16,MATCH(C407,Settings!$A$13:$A$16,0)))+D407</f>
        <v/>
      </c>
    </row>
    <row r="408">
      <c r="A408" s="45" t="n">
        <v>404</v>
      </c>
      <c r="B408" s="67">
        <f>Dashboard!$C$5+(404-1)/12</f>
        <v/>
      </c>
      <c r="C408" s="27">
        <f>INDEX(Dashboard!$C$14:$C$21,MIN(8,INT((404-1)/60)+1))</f>
        <v/>
      </c>
      <c r="D408" s="62">
        <f>MIN(Dashboard!$C$9,INDEX(Settings!$B$19:$B$58,MIN(40,INT((404-1)/12)+1)))</f>
        <v/>
      </c>
      <c r="E408" s="62">
        <f>E407*(1+INDEX(Settings!$E$13:$E$16,MATCH(C408,Settings!$A$13:$A$16,0)))+D408</f>
        <v/>
      </c>
      <c r="F408" s="62">
        <f>F407*(1+INDEX(Settings!$I$13:$I$16,MATCH(C408,Settings!$A$13:$A$16,0)))+D408</f>
        <v/>
      </c>
      <c r="G408" s="62">
        <f>G407*(1+INDEX(Settings!$J$13:$J$16,MATCH(C408,Settings!$A$13:$A$16,0)))+D408</f>
        <v/>
      </c>
    </row>
    <row r="409">
      <c r="A409" s="45" t="n">
        <v>405</v>
      </c>
      <c r="B409" s="67">
        <f>Dashboard!$C$5+(405-1)/12</f>
        <v/>
      </c>
      <c r="C409" s="27">
        <f>INDEX(Dashboard!$C$14:$C$21,MIN(8,INT((405-1)/60)+1))</f>
        <v/>
      </c>
      <c r="D409" s="62">
        <f>MIN(Dashboard!$C$9,INDEX(Settings!$B$19:$B$58,MIN(40,INT((405-1)/12)+1)))</f>
        <v/>
      </c>
      <c r="E409" s="62">
        <f>E408*(1+INDEX(Settings!$E$13:$E$16,MATCH(C409,Settings!$A$13:$A$16,0)))+D409</f>
        <v/>
      </c>
      <c r="F409" s="62">
        <f>F408*(1+INDEX(Settings!$I$13:$I$16,MATCH(C409,Settings!$A$13:$A$16,0)))+D409</f>
        <v/>
      </c>
      <c r="G409" s="62">
        <f>G408*(1+INDEX(Settings!$J$13:$J$16,MATCH(C409,Settings!$A$13:$A$16,0)))+D409</f>
        <v/>
      </c>
    </row>
    <row r="410">
      <c r="A410" s="45" t="n">
        <v>406</v>
      </c>
      <c r="B410" s="67">
        <f>Dashboard!$C$5+(406-1)/12</f>
        <v/>
      </c>
      <c r="C410" s="27">
        <f>INDEX(Dashboard!$C$14:$C$21,MIN(8,INT((406-1)/60)+1))</f>
        <v/>
      </c>
      <c r="D410" s="62">
        <f>MIN(Dashboard!$C$9,INDEX(Settings!$B$19:$B$58,MIN(40,INT((406-1)/12)+1)))</f>
        <v/>
      </c>
      <c r="E410" s="62">
        <f>E409*(1+INDEX(Settings!$E$13:$E$16,MATCH(C410,Settings!$A$13:$A$16,0)))+D410</f>
        <v/>
      </c>
      <c r="F410" s="62">
        <f>F409*(1+INDEX(Settings!$I$13:$I$16,MATCH(C410,Settings!$A$13:$A$16,0)))+D410</f>
        <v/>
      </c>
      <c r="G410" s="62">
        <f>G409*(1+INDEX(Settings!$J$13:$J$16,MATCH(C410,Settings!$A$13:$A$16,0)))+D410</f>
        <v/>
      </c>
    </row>
    <row r="411">
      <c r="A411" s="45" t="n">
        <v>407</v>
      </c>
      <c r="B411" s="67">
        <f>Dashboard!$C$5+(407-1)/12</f>
        <v/>
      </c>
      <c r="C411" s="27">
        <f>INDEX(Dashboard!$C$14:$C$21,MIN(8,INT((407-1)/60)+1))</f>
        <v/>
      </c>
      <c r="D411" s="62">
        <f>MIN(Dashboard!$C$9,INDEX(Settings!$B$19:$B$58,MIN(40,INT((407-1)/12)+1)))</f>
        <v/>
      </c>
      <c r="E411" s="62">
        <f>E410*(1+INDEX(Settings!$E$13:$E$16,MATCH(C411,Settings!$A$13:$A$16,0)))+D411</f>
        <v/>
      </c>
      <c r="F411" s="62">
        <f>F410*(1+INDEX(Settings!$I$13:$I$16,MATCH(C411,Settings!$A$13:$A$16,0)))+D411</f>
        <v/>
      </c>
      <c r="G411" s="62">
        <f>G410*(1+INDEX(Settings!$J$13:$J$16,MATCH(C411,Settings!$A$13:$A$16,0)))+D411</f>
        <v/>
      </c>
    </row>
    <row r="412">
      <c r="A412" s="45" t="n">
        <v>408</v>
      </c>
      <c r="B412" s="67">
        <f>Dashboard!$C$5+(408-1)/12</f>
        <v/>
      </c>
      <c r="C412" s="27">
        <f>INDEX(Dashboard!$C$14:$C$21,MIN(8,INT((408-1)/60)+1))</f>
        <v/>
      </c>
      <c r="D412" s="62">
        <f>MIN(Dashboard!$C$9,INDEX(Settings!$B$19:$B$58,MIN(40,INT((408-1)/12)+1)))</f>
        <v/>
      </c>
      <c r="E412" s="62">
        <f>E411*(1+INDEX(Settings!$E$13:$E$16,MATCH(C412,Settings!$A$13:$A$16,0)))+D412</f>
        <v/>
      </c>
      <c r="F412" s="62">
        <f>F411*(1+INDEX(Settings!$I$13:$I$16,MATCH(C412,Settings!$A$13:$A$16,0)))+D412</f>
        <v/>
      </c>
      <c r="G412" s="62">
        <f>G411*(1+INDEX(Settings!$J$13:$J$16,MATCH(C412,Settings!$A$13:$A$16,0)))+D412</f>
        <v/>
      </c>
    </row>
    <row r="413">
      <c r="A413" s="45" t="n">
        <v>409</v>
      </c>
      <c r="B413" s="67">
        <f>Dashboard!$C$5+(409-1)/12</f>
        <v/>
      </c>
      <c r="C413" s="27">
        <f>INDEX(Dashboard!$C$14:$C$21,MIN(8,INT((409-1)/60)+1))</f>
        <v/>
      </c>
      <c r="D413" s="62">
        <f>MIN(Dashboard!$C$9,INDEX(Settings!$B$19:$B$58,MIN(40,INT((409-1)/12)+1)))</f>
        <v/>
      </c>
      <c r="E413" s="62">
        <f>E412*(1+INDEX(Settings!$E$13:$E$16,MATCH(C413,Settings!$A$13:$A$16,0)))+D413</f>
        <v/>
      </c>
      <c r="F413" s="62">
        <f>F412*(1+INDEX(Settings!$I$13:$I$16,MATCH(C413,Settings!$A$13:$A$16,0)))+D413</f>
        <v/>
      </c>
      <c r="G413" s="62">
        <f>G412*(1+INDEX(Settings!$J$13:$J$16,MATCH(C413,Settings!$A$13:$A$16,0)))+D413</f>
        <v/>
      </c>
    </row>
    <row r="414">
      <c r="A414" s="45" t="n">
        <v>410</v>
      </c>
      <c r="B414" s="67">
        <f>Dashboard!$C$5+(410-1)/12</f>
        <v/>
      </c>
      <c r="C414" s="27">
        <f>INDEX(Dashboard!$C$14:$C$21,MIN(8,INT((410-1)/60)+1))</f>
        <v/>
      </c>
      <c r="D414" s="62">
        <f>MIN(Dashboard!$C$9,INDEX(Settings!$B$19:$B$58,MIN(40,INT((410-1)/12)+1)))</f>
        <v/>
      </c>
      <c r="E414" s="62">
        <f>E413*(1+INDEX(Settings!$E$13:$E$16,MATCH(C414,Settings!$A$13:$A$16,0)))+D414</f>
        <v/>
      </c>
      <c r="F414" s="62">
        <f>F413*(1+INDEX(Settings!$I$13:$I$16,MATCH(C414,Settings!$A$13:$A$16,0)))+D414</f>
        <v/>
      </c>
      <c r="G414" s="62">
        <f>G413*(1+INDEX(Settings!$J$13:$J$16,MATCH(C414,Settings!$A$13:$A$16,0)))+D414</f>
        <v/>
      </c>
    </row>
    <row r="415">
      <c r="A415" s="45" t="n">
        <v>411</v>
      </c>
      <c r="B415" s="67">
        <f>Dashboard!$C$5+(411-1)/12</f>
        <v/>
      </c>
      <c r="C415" s="27">
        <f>INDEX(Dashboard!$C$14:$C$21,MIN(8,INT((411-1)/60)+1))</f>
        <v/>
      </c>
      <c r="D415" s="62">
        <f>MIN(Dashboard!$C$9,INDEX(Settings!$B$19:$B$58,MIN(40,INT((411-1)/12)+1)))</f>
        <v/>
      </c>
      <c r="E415" s="62">
        <f>E414*(1+INDEX(Settings!$E$13:$E$16,MATCH(C415,Settings!$A$13:$A$16,0)))+D415</f>
        <v/>
      </c>
      <c r="F415" s="62">
        <f>F414*(1+INDEX(Settings!$I$13:$I$16,MATCH(C415,Settings!$A$13:$A$16,0)))+D415</f>
        <v/>
      </c>
      <c r="G415" s="62">
        <f>G414*(1+INDEX(Settings!$J$13:$J$16,MATCH(C415,Settings!$A$13:$A$16,0)))+D415</f>
        <v/>
      </c>
    </row>
    <row r="416">
      <c r="A416" s="45" t="n">
        <v>412</v>
      </c>
      <c r="B416" s="67">
        <f>Dashboard!$C$5+(412-1)/12</f>
        <v/>
      </c>
      <c r="C416" s="27">
        <f>INDEX(Dashboard!$C$14:$C$21,MIN(8,INT((412-1)/60)+1))</f>
        <v/>
      </c>
      <c r="D416" s="62">
        <f>MIN(Dashboard!$C$9,INDEX(Settings!$B$19:$B$58,MIN(40,INT((412-1)/12)+1)))</f>
        <v/>
      </c>
      <c r="E416" s="62">
        <f>E415*(1+INDEX(Settings!$E$13:$E$16,MATCH(C416,Settings!$A$13:$A$16,0)))+D416</f>
        <v/>
      </c>
      <c r="F416" s="62">
        <f>F415*(1+INDEX(Settings!$I$13:$I$16,MATCH(C416,Settings!$A$13:$A$16,0)))+D416</f>
        <v/>
      </c>
      <c r="G416" s="62">
        <f>G415*(1+INDEX(Settings!$J$13:$J$16,MATCH(C416,Settings!$A$13:$A$16,0)))+D416</f>
        <v/>
      </c>
    </row>
    <row r="417">
      <c r="A417" s="45" t="n">
        <v>413</v>
      </c>
      <c r="B417" s="67">
        <f>Dashboard!$C$5+(413-1)/12</f>
        <v/>
      </c>
      <c r="C417" s="27">
        <f>INDEX(Dashboard!$C$14:$C$21,MIN(8,INT((413-1)/60)+1))</f>
        <v/>
      </c>
      <c r="D417" s="62">
        <f>MIN(Dashboard!$C$9,INDEX(Settings!$B$19:$B$58,MIN(40,INT((413-1)/12)+1)))</f>
        <v/>
      </c>
      <c r="E417" s="62">
        <f>E416*(1+INDEX(Settings!$E$13:$E$16,MATCH(C417,Settings!$A$13:$A$16,0)))+D417</f>
        <v/>
      </c>
      <c r="F417" s="62">
        <f>F416*(1+INDEX(Settings!$I$13:$I$16,MATCH(C417,Settings!$A$13:$A$16,0)))+D417</f>
        <v/>
      </c>
      <c r="G417" s="62">
        <f>G416*(1+INDEX(Settings!$J$13:$J$16,MATCH(C417,Settings!$A$13:$A$16,0)))+D417</f>
        <v/>
      </c>
    </row>
    <row r="418">
      <c r="A418" s="45" t="n">
        <v>414</v>
      </c>
      <c r="B418" s="67">
        <f>Dashboard!$C$5+(414-1)/12</f>
        <v/>
      </c>
      <c r="C418" s="27">
        <f>INDEX(Dashboard!$C$14:$C$21,MIN(8,INT((414-1)/60)+1))</f>
        <v/>
      </c>
      <c r="D418" s="62">
        <f>MIN(Dashboard!$C$9,INDEX(Settings!$B$19:$B$58,MIN(40,INT((414-1)/12)+1)))</f>
        <v/>
      </c>
      <c r="E418" s="62">
        <f>E417*(1+INDEX(Settings!$E$13:$E$16,MATCH(C418,Settings!$A$13:$A$16,0)))+D418</f>
        <v/>
      </c>
      <c r="F418" s="62">
        <f>F417*(1+INDEX(Settings!$I$13:$I$16,MATCH(C418,Settings!$A$13:$A$16,0)))+D418</f>
        <v/>
      </c>
      <c r="G418" s="62">
        <f>G417*(1+INDEX(Settings!$J$13:$J$16,MATCH(C418,Settings!$A$13:$A$16,0)))+D418</f>
        <v/>
      </c>
    </row>
    <row r="419">
      <c r="A419" s="45" t="n">
        <v>415</v>
      </c>
      <c r="B419" s="67">
        <f>Dashboard!$C$5+(415-1)/12</f>
        <v/>
      </c>
      <c r="C419" s="27">
        <f>INDEX(Dashboard!$C$14:$C$21,MIN(8,INT((415-1)/60)+1))</f>
        <v/>
      </c>
      <c r="D419" s="62">
        <f>MIN(Dashboard!$C$9,INDEX(Settings!$B$19:$B$58,MIN(40,INT((415-1)/12)+1)))</f>
        <v/>
      </c>
      <c r="E419" s="62">
        <f>E418*(1+INDEX(Settings!$E$13:$E$16,MATCH(C419,Settings!$A$13:$A$16,0)))+D419</f>
        <v/>
      </c>
      <c r="F419" s="62">
        <f>F418*(1+INDEX(Settings!$I$13:$I$16,MATCH(C419,Settings!$A$13:$A$16,0)))+D419</f>
        <v/>
      </c>
      <c r="G419" s="62">
        <f>G418*(1+INDEX(Settings!$J$13:$J$16,MATCH(C419,Settings!$A$13:$A$16,0)))+D419</f>
        <v/>
      </c>
    </row>
    <row r="420">
      <c r="A420" s="45" t="n">
        <v>416</v>
      </c>
      <c r="B420" s="67">
        <f>Dashboard!$C$5+(416-1)/12</f>
        <v/>
      </c>
      <c r="C420" s="27">
        <f>INDEX(Dashboard!$C$14:$C$21,MIN(8,INT((416-1)/60)+1))</f>
        <v/>
      </c>
      <c r="D420" s="62">
        <f>MIN(Dashboard!$C$9,INDEX(Settings!$B$19:$B$58,MIN(40,INT((416-1)/12)+1)))</f>
        <v/>
      </c>
      <c r="E420" s="62">
        <f>E419*(1+INDEX(Settings!$E$13:$E$16,MATCH(C420,Settings!$A$13:$A$16,0)))+D420</f>
        <v/>
      </c>
      <c r="F420" s="62">
        <f>F419*(1+INDEX(Settings!$I$13:$I$16,MATCH(C420,Settings!$A$13:$A$16,0)))+D420</f>
        <v/>
      </c>
      <c r="G420" s="62">
        <f>G419*(1+INDEX(Settings!$J$13:$J$16,MATCH(C420,Settings!$A$13:$A$16,0)))+D420</f>
        <v/>
      </c>
    </row>
    <row r="421">
      <c r="A421" s="45" t="n">
        <v>417</v>
      </c>
      <c r="B421" s="67">
        <f>Dashboard!$C$5+(417-1)/12</f>
        <v/>
      </c>
      <c r="C421" s="27">
        <f>INDEX(Dashboard!$C$14:$C$21,MIN(8,INT((417-1)/60)+1))</f>
        <v/>
      </c>
      <c r="D421" s="62">
        <f>MIN(Dashboard!$C$9,INDEX(Settings!$B$19:$B$58,MIN(40,INT((417-1)/12)+1)))</f>
        <v/>
      </c>
      <c r="E421" s="62">
        <f>E420*(1+INDEX(Settings!$E$13:$E$16,MATCH(C421,Settings!$A$13:$A$16,0)))+D421</f>
        <v/>
      </c>
      <c r="F421" s="62">
        <f>F420*(1+INDEX(Settings!$I$13:$I$16,MATCH(C421,Settings!$A$13:$A$16,0)))+D421</f>
        <v/>
      </c>
      <c r="G421" s="62">
        <f>G420*(1+INDEX(Settings!$J$13:$J$16,MATCH(C421,Settings!$A$13:$A$16,0)))+D421</f>
        <v/>
      </c>
    </row>
    <row r="422">
      <c r="A422" s="45" t="n">
        <v>418</v>
      </c>
      <c r="B422" s="67">
        <f>Dashboard!$C$5+(418-1)/12</f>
        <v/>
      </c>
      <c r="C422" s="27">
        <f>INDEX(Dashboard!$C$14:$C$21,MIN(8,INT((418-1)/60)+1))</f>
        <v/>
      </c>
      <c r="D422" s="62">
        <f>MIN(Dashboard!$C$9,INDEX(Settings!$B$19:$B$58,MIN(40,INT((418-1)/12)+1)))</f>
        <v/>
      </c>
      <c r="E422" s="62">
        <f>E421*(1+INDEX(Settings!$E$13:$E$16,MATCH(C422,Settings!$A$13:$A$16,0)))+D422</f>
        <v/>
      </c>
      <c r="F422" s="62">
        <f>F421*(1+INDEX(Settings!$I$13:$I$16,MATCH(C422,Settings!$A$13:$A$16,0)))+D422</f>
        <v/>
      </c>
      <c r="G422" s="62">
        <f>G421*(1+INDEX(Settings!$J$13:$J$16,MATCH(C422,Settings!$A$13:$A$16,0)))+D422</f>
        <v/>
      </c>
    </row>
    <row r="423">
      <c r="A423" s="45" t="n">
        <v>419</v>
      </c>
      <c r="B423" s="67">
        <f>Dashboard!$C$5+(419-1)/12</f>
        <v/>
      </c>
      <c r="C423" s="27">
        <f>INDEX(Dashboard!$C$14:$C$21,MIN(8,INT((419-1)/60)+1))</f>
        <v/>
      </c>
      <c r="D423" s="62">
        <f>MIN(Dashboard!$C$9,INDEX(Settings!$B$19:$B$58,MIN(40,INT((419-1)/12)+1)))</f>
        <v/>
      </c>
      <c r="E423" s="62">
        <f>E422*(1+INDEX(Settings!$E$13:$E$16,MATCH(C423,Settings!$A$13:$A$16,0)))+D423</f>
        <v/>
      </c>
      <c r="F423" s="62">
        <f>F422*(1+INDEX(Settings!$I$13:$I$16,MATCH(C423,Settings!$A$13:$A$16,0)))+D423</f>
        <v/>
      </c>
      <c r="G423" s="62">
        <f>G422*(1+INDEX(Settings!$J$13:$J$16,MATCH(C423,Settings!$A$13:$A$16,0)))+D423</f>
        <v/>
      </c>
    </row>
    <row r="424">
      <c r="A424" s="45" t="n">
        <v>420</v>
      </c>
      <c r="B424" s="67">
        <f>Dashboard!$C$5+(420-1)/12</f>
        <v/>
      </c>
      <c r="C424" s="27">
        <f>INDEX(Dashboard!$C$14:$C$21,MIN(8,INT((420-1)/60)+1))</f>
        <v/>
      </c>
      <c r="D424" s="62">
        <f>MIN(Dashboard!$C$9,INDEX(Settings!$B$19:$B$58,MIN(40,INT((420-1)/12)+1)))</f>
        <v/>
      </c>
      <c r="E424" s="62">
        <f>E423*(1+INDEX(Settings!$E$13:$E$16,MATCH(C424,Settings!$A$13:$A$16,0)))+D424</f>
        <v/>
      </c>
      <c r="F424" s="62">
        <f>F423*(1+INDEX(Settings!$I$13:$I$16,MATCH(C424,Settings!$A$13:$A$16,0)))+D424</f>
        <v/>
      </c>
      <c r="G424" s="62">
        <f>G423*(1+INDEX(Settings!$J$13:$J$16,MATCH(C424,Settings!$A$13:$A$16,0)))+D424</f>
        <v/>
      </c>
    </row>
    <row r="425">
      <c r="A425" s="45" t="n">
        <v>421</v>
      </c>
      <c r="B425" s="67">
        <f>Dashboard!$C$5+(421-1)/12</f>
        <v/>
      </c>
      <c r="C425" s="27">
        <f>INDEX(Dashboard!$C$14:$C$21,MIN(8,INT((421-1)/60)+1))</f>
        <v/>
      </c>
      <c r="D425" s="62">
        <f>MIN(Dashboard!$C$9,INDEX(Settings!$B$19:$B$58,MIN(40,INT((421-1)/12)+1)))</f>
        <v/>
      </c>
      <c r="E425" s="62">
        <f>E424*(1+INDEX(Settings!$E$13:$E$16,MATCH(C425,Settings!$A$13:$A$16,0)))+D425</f>
        <v/>
      </c>
      <c r="F425" s="62">
        <f>F424*(1+INDEX(Settings!$I$13:$I$16,MATCH(C425,Settings!$A$13:$A$16,0)))+D425</f>
        <v/>
      </c>
      <c r="G425" s="62">
        <f>G424*(1+INDEX(Settings!$J$13:$J$16,MATCH(C425,Settings!$A$13:$A$16,0)))+D425</f>
        <v/>
      </c>
    </row>
    <row r="426">
      <c r="A426" s="45" t="n">
        <v>422</v>
      </c>
      <c r="B426" s="67">
        <f>Dashboard!$C$5+(422-1)/12</f>
        <v/>
      </c>
      <c r="C426" s="27">
        <f>INDEX(Dashboard!$C$14:$C$21,MIN(8,INT((422-1)/60)+1))</f>
        <v/>
      </c>
      <c r="D426" s="62">
        <f>MIN(Dashboard!$C$9,INDEX(Settings!$B$19:$B$58,MIN(40,INT((422-1)/12)+1)))</f>
        <v/>
      </c>
      <c r="E426" s="62">
        <f>E425*(1+INDEX(Settings!$E$13:$E$16,MATCH(C426,Settings!$A$13:$A$16,0)))+D426</f>
        <v/>
      </c>
      <c r="F426" s="62">
        <f>F425*(1+INDEX(Settings!$I$13:$I$16,MATCH(C426,Settings!$A$13:$A$16,0)))+D426</f>
        <v/>
      </c>
      <c r="G426" s="62">
        <f>G425*(1+INDEX(Settings!$J$13:$J$16,MATCH(C426,Settings!$A$13:$A$16,0)))+D426</f>
        <v/>
      </c>
    </row>
    <row r="427">
      <c r="A427" s="45" t="n">
        <v>423</v>
      </c>
      <c r="B427" s="67">
        <f>Dashboard!$C$5+(423-1)/12</f>
        <v/>
      </c>
      <c r="C427" s="27">
        <f>INDEX(Dashboard!$C$14:$C$21,MIN(8,INT((423-1)/60)+1))</f>
        <v/>
      </c>
      <c r="D427" s="62">
        <f>MIN(Dashboard!$C$9,INDEX(Settings!$B$19:$B$58,MIN(40,INT((423-1)/12)+1)))</f>
        <v/>
      </c>
      <c r="E427" s="62">
        <f>E426*(1+INDEX(Settings!$E$13:$E$16,MATCH(C427,Settings!$A$13:$A$16,0)))+D427</f>
        <v/>
      </c>
      <c r="F427" s="62">
        <f>F426*(1+INDEX(Settings!$I$13:$I$16,MATCH(C427,Settings!$A$13:$A$16,0)))+D427</f>
        <v/>
      </c>
      <c r="G427" s="62">
        <f>G426*(1+INDEX(Settings!$J$13:$J$16,MATCH(C427,Settings!$A$13:$A$16,0)))+D427</f>
        <v/>
      </c>
    </row>
    <row r="428">
      <c r="A428" s="45" t="n">
        <v>424</v>
      </c>
      <c r="B428" s="67">
        <f>Dashboard!$C$5+(424-1)/12</f>
        <v/>
      </c>
      <c r="C428" s="27">
        <f>INDEX(Dashboard!$C$14:$C$21,MIN(8,INT((424-1)/60)+1))</f>
        <v/>
      </c>
      <c r="D428" s="62">
        <f>MIN(Dashboard!$C$9,INDEX(Settings!$B$19:$B$58,MIN(40,INT((424-1)/12)+1)))</f>
        <v/>
      </c>
      <c r="E428" s="62">
        <f>E427*(1+INDEX(Settings!$E$13:$E$16,MATCH(C428,Settings!$A$13:$A$16,0)))+D428</f>
        <v/>
      </c>
      <c r="F428" s="62">
        <f>F427*(1+INDEX(Settings!$I$13:$I$16,MATCH(C428,Settings!$A$13:$A$16,0)))+D428</f>
        <v/>
      </c>
      <c r="G428" s="62">
        <f>G427*(1+INDEX(Settings!$J$13:$J$16,MATCH(C428,Settings!$A$13:$A$16,0)))+D428</f>
        <v/>
      </c>
    </row>
    <row r="429">
      <c r="A429" s="45" t="n">
        <v>425</v>
      </c>
      <c r="B429" s="67">
        <f>Dashboard!$C$5+(425-1)/12</f>
        <v/>
      </c>
      <c r="C429" s="27">
        <f>INDEX(Dashboard!$C$14:$C$21,MIN(8,INT((425-1)/60)+1))</f>
        <v/>
      </c>
      <c r="D429" s="62">
        <f>MIN(Dashboard!$C$9,INDEX(Settings!$B$19:$B$58,MIN(40,INT((425-1)/12)+1)))</f>
        <v/>
      </c>
      <c r="E429" s="62">
        <f>E428*(1+INDEX(Settings!$E$13:$E$16,MATCH(C429,Settings!$A$13:$A$16,0)))+D429</f>
        <v/>
      </c>
      <c r="F429" s="62">
        <f>F428*(1+INDEX(Settings!$I$13:$I$16,MATCH(C429,Settings!$A$13:$A$16,0)))+D429</f>
        <v/>
      </c>
      <c r="G429" s="62">
        <f>G428*(1+INDEX(Settings!$J$13:$J$16,MATCH(C429,Settings!$A$13:$A$16,0)))+D429</f>
        <v/>
      </c>
    </row>
    <row r="430">
      <c r="A430" s="45" t="n">
        <v>426</v>
      </c>
      <c r="B430" s="67">
        <f>Dashboard!$C$5+(426-1)/12</f>
        <v/>
      </c>
      <c r="C430" s="27">
        <f>INDEX(Dashboard!$C$14:$C$21,MIN(8,INT((426-1)/60)+1))</f>
        <v/>
      </c>
      <c r="D430" s="62">
        <f>MIN(Dashboard!$C$9,INDEX(Settings!$B$19:$B$58,MIN(40,INT((426-1)/12)+1)))</f>
        <v/>
      </c>
      <c r="E430" s="62">
        <f>E429*(1+INDEX(Settings!$E$13:$E$16,MATCH(C430,Settings!$A$13:$A$16,0)))+D430</f>
        <v/>
      </c>
      <c r="F430" s="62">
        <f>F429*(1+INDEX(Settings!$I$13:$I$16,MATCH(C430,Settings!$A$13:$A$16,0)))+D430</f>
        <v/>
      </c>
      <c r="G430" s="62">
        <f>G429*(1+INDEX(Settings!$J$13:$J$16,MATCH(C430,Settings!$A$13:$A$16,0)))+D430</f>
        <v/>
      </c>
    </row>
    <row r="431">
      <c r="A431" s="45" t="n">
        <v>427</v>
      </c>
      <c r="B431" s="67">
        <f>Dashboard!$C$5+(427-1)/12</f>
        <v/>
      </c>
      <c r="C431" s="27">
        <f>INDEX(Dashboard!$C$14:$C$21,MIN(8,INT((427-1)/60)+1))</f>
        <v/>
      </c>
      <c r="D431" s="62">
        <f>MIN(Dashboard!$C$9,INDEX(Settings!$B$19:$B$58,MIN(40,INT((427-1)/12)+1)))</f>
        <v/>
      </c>
      <c r="E431" s="62">
        <f>E430*(1+INDEX(Settings!$E$13:$E$16,MATCH(C431,Settings!$A$13:$A$16,0)))+D431</f>
        <v/>
      </c>
      <c r="F431" s="62">
        <f>F430*(1+INDEX(Settings!$I$13:$I$16,MATCH(C431,Settings!$A$13:$A$16,0)))+D431</f>
        <v/>
      </c>
      <c r="G431" s="62">
        <f>G430*(1+INDEX(Settings!$J$13:$J$16,MATCH(C431,Settings!$A$13:$A$16,0)))+D431</f>
        <v/>
      </c>
    </row>
    <row r="432">
      <c r="A432" s="45" t="n">
        <v>428</v>
      </c>
      <c r="B432" s="67">
        <f>Dashboard!$C$5+(428-1)/12</f>
        <v/>
      </c>
      <c r="C432" s="27">
        <f>INDEX(Dashboard!$C$14:$C$21,MIN(8,INT((428-1)/60)+1))</f>
        <v/>
      </c>
      <c r="D432" s="62">
        <f>MIN(Dashboard!$C$9,INDEX(Settings!$B$19:$B$58,MIN(40,INT((428-1)/12)+1)))</f>
        <v/>
      </c>
      <c r="E432" s="62">
        <f>E431*(1+INDEX(Settings!$E$13:$E$16,MATCH(C432,Settings!$A$13:$A$16,0)))+D432</f>
        <v/>
      </c>
      <c r="F432" s="62">
        <f>F431*(1+INDEX(Settings!$I$13:$I$16,MATCH(C432,Settings!$A$13:$A$16,0)))+D432</f>
        <v/>
      </c>
      <c r="G432" s="62">
        <f>G431*(1+INDEX(Settings!$J$13:$J$16,MATCH(C432,Settings!$A$13:$A$16,0)))+D432</f>
        <v/>
      </c>
    </row>
    <row r="433">
      <c r="A433" s="45" t="n">
        <v>429</v>
      </c>
      <c r="B433" s="67">
        <f>Dashboard!$C$5+(429-1)/12</f>
        <v/>
      </c>
      <c r="C433" s="27">
        <f>INDEX(Dashboard!$C$14:$C$21,MIN(8,INT((429-1)/60)+1))</f>
        <v/>
      </c>
      <c r="D433" s="62">
        <f>MIN(Dashboard!$C$9,INDEX(Settings!$B$19:$B$58,MIN(40,INT((429-1)/12)+1)))</f>
        <v/>
      </c>
      <c r="E433" s="62">
        <f>E432*(1+INDEX(Settings!$E$13:$E$16,MATCH(C433,Settings!$A$13:$A$16,0)))+D433</f>
        <v/>
      </c>
      <c r="F433" s="62">
        <f>F432*(1+INDEX(Settings!$I$13:$I$16,MATCH(C433,Settings!$A$13:$A$16,0)))+D433</f>
        <v/>
      </c>
      <c r="G433" s="62">
        <f>G432*(1+INDEX(Settings!$J$13:$J$16,MATCH(C433,Settings!$A$13:$A$16,0)))+D433</f>
        <v/>
      </c>
    </row>
    <row r="434">
      <c r="A434" s="45" t="n">
        <v>430</v>
      </c>
      <c r="B434" s="67">
        <f>Dashboard!$C$5+(430-1)/12</f>
        <v/>
      </c>
      <c r="C434" s="27">
        <f>INDEX(Dashboard!$C$14:$C$21,MIN(8,INT((430-1)/60)+1))</f>
        <v/>
      </c>
      <c r="D434" s="62">
        <f>MIN(Dashboard!$C$9,INDEX(Settings!$B$19:$B$58,MIN(40,INT((430-1)/12)+1)))</f>
        <v/>
      </c>
      <c r="E434" s="62">
        <f>E433*(1+INDEX(Settings!$E$13:$E$16,MATCH(C434,Settings!$A$13:$A$16,0)))+D434</f>
        <v/>
      </c>
      <c r="F434" s="62">
        <f>F433*(1+INDEX(Settings!$I$13:$I$16,MATCH(C434,Settings!$A$13:$A$16,0)))+D434</f>
        <v/>
      </c>
      <c r="G434" s="62">
        <f>G433*(1+INDEX(Settings!$J$13:$J$16,MATCH(C434,Settings!$A$13:$A$16,0)))+D434</f>
        <v/>
      </c>
    </row>
    <row r="435">
      <c r="A435" s="45" t="n">
        <v>431</v>
      </c>
      <c r="B435" s="67">
        <f>Dashboard!$C$5+(431-1)/12</f>
        <v/>
      </c>
      <c r="C435" s="27">
        <f>INDEX(Dashboard!$C$14:$C$21,MIN(8,INT((431-1)/60)+1))</f>
        <v/>
      </c>
      <c r="D435" s="62">
        <f>MIN(Dashboard!$C$9,INDEX(Settings!$B$19:$B$58,MIN(40,INT((431-1)/12)+1)))</f>
        <v/>
      </c>
      <c r="E435" s="62">
        <f>E434*(1+INDEX(Settings!$E$13:$E$16,MATCH(C435,Settings!$A$13:$A$16,0)))+D435</f>
        <v/>
      </c>
      <c r="F435" s="62">
        <f>F434*(1+INDEX(Settings!$I$13:$I$16,MATCH(C435,Settings!$A$13:$A$16,0)))+D435</f>
        <v/>
      </c>
      <c r="G435" s="62">
        <f>G434*(1+INDEX(Settings!$J$13:$J$16,MATCH(C435,Settings!$A$13:$A$16,0)))+D435</f>
        <v/>
      </c>
    </row>
    <row r="436">
      <c r="A436" s="45" t="n">
        <v>432</v>
      </c>
      <c r="B436" s="67">
        <f>Dashboard!$C$5+(432-1)/12</f>
        <v/>
      </c>
      <c r="C436" s="27">
        <f>INDEX(Dashboard!$C$14:$C$21,MIN(8,INT((432-1)/60)+1))</f>
        <v/>
      </c>
      <c r="D436" s="62">
        <f>MIN(Dashboard!$C$9,INDEX(Settings!$B$19:$B$58,MIN(40,INT((432-1)/12)+1)))</f>
        <v/>
      </c>
      <c r="E436" s="62">
        <f>E435*(1+INDEX(Settings!$E$13:$E$16,MATCH(C436,Settings!$A$13:$A$16,0)))+D436</f>
        <v/>
      </c>
      <c r="F436" s="62">
        <f>F435*(1+INDEX(Settings!$I$13:$I$16,MATCH(C436,Settings!$A$13:$A$16,0)))+D436</f>
        <v/>
      </c>
      <c r="G436" s="62">
        <f>G435*(1+INDEX(Settings!$J$13:$J$16,MATCH(C436,Settings!$A$13:$A$16,0)))+D436</f>
        <v/>
      </c>
    </row>
    <row r="437">
      <c r="A437" s="45" t="n">
        <v>433</v>
      </c>
      <c r="B437" s="67">
        <f>Dashboard!$C$5+(433-1)/12</f>
        <v/>
      </c>
      <c r="C437" s="27">
        <f>INDEX(Dashboard!$C$14:$C$21,MIN(8,INT((433-1)/60)+1))</f>
        <v/>
      </c>
      <c r="D437" s="62">
        <f>MIN(Dashboard!$C$9,INDEX(Settings!$B$19:$B$58,MIN(40,INT((433-1)/12)+1)))</f>
        <v/>
      </c>
      <c r="E437" s="62">
        <f>E436*(1+INDEX(Settings!$E$13:$E$16,MATCH(C437,Settings!$A$13:$A$16,0)))+D437</f>
        <v/>
      </c>
      <c r="F437" s="62">
        <f>F436*(1+INDEX(Settings!$I$13:$I$16,MATCH(C437,Settings!$A$13:$A$16,0)))+D437</f>
        <v/>
      </c>
      <c r="G437" s="62">
        <f>G436*(1+INDEX(Settings!$J$13:$J$16,MATCH(C437,Settings!$A$13:$A$16,0)))+D437</f>
        <v/>
      </c>
    </row>
    <row r="438">
      <c r="A438" s="45" t="n">
        <v>434</v>
      </c>
      <c r="B438" s="67">
        <f>Dashboard!$C$5+(434-1)/12</f>
        <v/>
      </c>
      <c r="C438" s="27">
        <f>INDEX(Dashboard!$C$14:$C$21,MIN(8,INT((434-1)/60)+1))</f>
        <v/>
      </c>
      <c r="D438" s="62">
        <f>MIN(Dashboard!$C$9,INDEX(Settings!$B$19:$B$58,MIN(40,INT((434-1)/12)+1)))</f>
        <v/>
      </c>
      <c r="E438" s="62">
        <f>E437*(1+INDEX(Settings!$E$13:$E$16,MATCH(C438,Settings!$A$13:$A$16,0)))+D438</f>
        <v/>
      </c>
      <c r="F438" s="62">
        <f>F437*(1+INDEX(Settings!$I$13:$I$16,MATCH(C438,Settings!$A$13:$A$16,0)))+D438</f>
        <v/>
      </c>
      <c r="G438" s="62">
        <f>G437*(1+INDEX(Settings!$J$13:$J$16,MATCH(C438,Settings!$A$13:$A$16,0)))+D438</f>
        <v/>
      </c>
    </row>
    <row r="439">
      <c r="A439" s="45" t="n">
        <v>435</v>
      </c>
      <c r="B439" s="67">
        <f>Dashboard!$C$5+(435-1)/12</f>
        <v/>
      </c>
      <c r="C439" s="27">
        <f>INDEX(Dashboard!$C$14:$C$21,MIN(8,INT((435-1)/60)+1))</f>
        <v/>
      </c>
      <c r="D439" s="62">
        <f>MIN(Dashboard!$C$9,INDEX(Settings!$B$19:$B$58,MIN(40,INT((435-1)/12)+1)))</f>
        <v/>
      </c>
      <c r="E439" s="62">
        <f>E438*(1+INDEX(Settings!$E$13:$E$16,MATCH(C439,Settings!$A$13:$A$16,0)))+D439</f>
        <v/>
      </c>
      <c r="F439" s="62">
        <f>F438*(1+INDEX(Settings!$I$13:$I$16,MATCH(C439,Settings!$A$13:$A$16,0)))+D439</f>
        <v/>
      </c>
      <c r="G439" s="62">
        <f>G438*(1+INDEX(Settings!$J$13:$J$16,MATCH(C439,Settings!$A$13:$A$16,0)))+D439</f>
        <v/>
      </c>
    </row>
    <row r="440">
      <c r="A440" s="45" t="n">
        <v>436</v>
      </c>
      <c r="B440" s="67">
        <f>Dashboard!$C$5+(436-1)/12</f>
        <v/>
      </c>
      <c r="C440" s="27">
        <f>INDEX(Dashboard!$C$14:$C$21,MIN(8,INT((436-1)/60)+1))</f>
        <v/>
      </c>
      <c r="D440" s="62">
        <f>MIN(Dashboard!$C$9,INDEX(Settings!$B$19:$B$58,MIN(40,INT((436-1)/12)+1)))</f>
        <v/>
      </c>
      <c r="E440" s="62">
        <f>E439*(1+INDEX(Settings!$E$13:$E$16,MATCH(C440,Settings!$A$13:$A$16,0)))+D440</f>
        <v/>
      </c>
      <c r="F440" s="62">
        <f>F439*(1+INDEX(Settings!$I$13:$I$16,MATCH(C440,Settings!$A$13:$A$16,0)))+D440</f>
        <v/>
      </c>
      <c r="G440" s="62">
        <f>G439*(1+INDEX(Settings!$J$13:$J$16,MATCH(C440,Settings!$A$13:$A$16,0)))+D440</f>
        <v/>
      </c>
    </row>
    <row r="441">
      <c r="A441" s="45" t="n">
        <v>437</v>
      </c>
      <c r="B441" s="67">
        <f>Dashboard!$C$5+(437-1)/12</f>
        <v/>
      </c>
      <c r="C441" s="27">
        <f>INDEX(Dashboard!$C$14:$C$21,MIN(8,INT((437-1)/60)+1))</f>
        <v/>
      </c>
      <c r="D441" s="62">
        <f>MIN(Dashboard!$C$9,INDEX(Settings!$B$19:$B$58,MIN(40,INT((437-1)/12)+1)))</f>
        <v/>
      </c>
      <c r="E441" s="62">
        <f>E440*(1+INDEX(Settings!$E$13:$E$16,MATCH(C441,Settings!$A$13:$A$16,0)))+D441</f>
        <v/>
      </c>
      <c r="F441" s="62">
        <f>F440*(1+INDEX(Settings!$I$13:$I$16,MATCH(C441,Settings!$A$13:$A$16,0)))+D441</f>
        <v/>
      </c>
      <c r="G441" s="62">
        <f>G440*(1+INDEX(Settings!$J$13:$J$16,MATCH(C441,Settings!$A$13:$A$16,0)))+D441</f>
        <v/>
      </c>
    </row>
    <row r="442">
      <c r="A442" s="45" t="n">
        <v>438</v>
      </c>
      <c r="B442" s="67">
        <f>Dashboard!$C$5+(438-1)/12</f>
        <v/>
      </c>
      <c r="C442" s="27">
        <f>INDEX(Dashboard!$C$14:$C$21,MIN(8,INT((438-1)/60)+1))</f>
        <v/>
      </c>
      <c r="D442" s="62">
        <f>MIN(Dashboard!$C$9,INDEX(Settings!$B$19:$B$58,MIN(40,INT((438-1)/12)+1)))</f>
        <v/>
      </c>
      <c r="E442" s="62">
        <f>E441*(1+INDEX(Settings!$E$13:$E$16,MATCH(C442,Settings!$A$13:$A$16,0)))+D442</f>
        <v/>
      </c>
      <c r="F442" s="62">
        <f>F441*(1+INDEX(Settings!$I$13:$I$16,MATCH(C442,Settings!$A$13:$A$16,0)))+D442</f>
        <v/>
      </c>
      <c r="G442" s="62">
        <f>G441*(1+INDEX(Settings!$J$13:$J$16,MATCH(C442,Settings!$A$13:$A$16,0)))+D442</f>
        <v/>
      </c>
    </row>
    <row r="443">
      <c r="A443" s="45" t="n">
        <v>439</v>
      </c>
      <c r="B443" s="67">
        <f>Dashboard!$C$5+(439-1)/12</f>
        <v/>
      </c>
      <c r="C443" s="27">
        <f>INDEX(Dashboard!$C$14:$C$21,MIN(8,INT((439-1)/60)+1))</f>
        <v/>
      </c>
      <c r="D443" s="62">
        <f>MIN(Dashboard!$C$9,INDEX(Settings!$B$19:$B$58,MIN(40,INT((439-1)/12)+1)))</f>
        <v/>
      </c>
      <c r="E443" s="62">
        <f>E442*(1+INDEX(Settings!$E$13:$E$16,MATCH(C443,Settings!$A$13:$A$16,0)))+D443</f>
        <v/>
      </c>
      <c r="F443" s="62">
        <f>F442*(1+INDEX(Settings!$I$13:$I$16,MATCH(C443,Settings!$A$13:$A$16,0)))+D443</f>
        <v/>
      </c>
      <c r="G443" s="62">
        <f>G442*(1+INDEX(Settings!$J$13:$J$16,MATCH(C443,Settings!$A$13:$A$16,0)))+D443</f>
        <v/>
      </c>
    </row>
    <row r="444">
      <c r="A444" s="45" t="n">
        <v>440</v>
      </c>
      <c r="B444" s="67">
        <f>Dashboard!$C$5+(440-1)/12</f>
        <v/>
      </c>
      <c r="C444" s="27">
        <f>INDEX(Dashboard!$C$14:$C$21,MIN(8,INT((440-1)/60)+1))</f>
        <v/>
      </c>
      <c r="D444" s="62">
        <f>MIN(Dashboard!$C$9,INDEX(Settings!$B$19:$B$58,MIN(40,INT((440-1)/12)+1)))</f>
        <v/>
      </c>
      <c r="E444" s="62">
        <f>E443*(1+INDEX(Settings!$E$13:$E$16,MATCH(C444,Settings!$A$13:$A$16,0)))+D444</f>
        <v/>
      </c>
      <c r="F444" s="62">
        <f>F443*(1+INDEX(Settings!$I$13:$I$16,MATCH(C444,Settings!$A$13:$A$16,0)))+D444</f>
        <v/>
      </c>
      <c r="G444" s="62">
        <f>G443*(1+INDEX(Settings!$J$13:$J$16,MATCH(C444,Settings!$A$13:$A$16,0)))+D444</f>
        <v/>
      </c>
    </row>
    <row r="445">
      <c r="A445" s="45" t="n">
        <v>441</v>
      </c>
      <c r="B445" s="67">
        <f>Dashboard!$C$5+(441-1)/12</f>
        <v/>
      </c>
      <c r="C445" s="27">
        <f>INDEX(Dashboard!$C$14:$C$21,MIN(8,INT((441-1)/60)+1))</f>
        <v/>
      </c>
      <c r="D445" s="62">
        <f>MIN(Dashboard!$C$9,INDEX(Settings!$B$19:$B$58,MIN(40,INT((441-1)/12)+1)))</f>
        <v/>
      </c>
      <c r="E445" s="62">
        <f>E444*(1+INDEX(Settings!$E$13:$E$16,MATCH(C445,Settings!$A$13:$A$16,0)))+D445</f>
        <v/>
      </c>
      <c r="F445" s="62">
        <f>F444*(1+INDEX(Settings!$I$13:$I$16,MATCH(C445,Settings!$A$13:$A$16,0)))+D445</f>
        <v/>
      </c>
      <c r="G445" s="62">
        <f>G444*(1+INDEX(Settings!$J$13:$J$16,MATCH(C445,Settings!$A$13:$A$16,0)))+D445</f>
        <v/>
      </c>
    </row>
    <row r="446">
      <c r="A446" s="45" t="n">
        <v>442</v>
      </c>
      <c r="B446" s="67">
        <f>Dashboard!$C$5+(442-1)/12</f>
        <v/>
      </c>
      <c r="C446" s="27">
        <f>INDEX(Dashboard!$C$14:$C$21,MIN(8,INT((442-1)/60)+1))</f>
        <v/>
      </c>
      <c r="D446" s="62">
        <f>MIN(Dashboard!$C$9,INDEX(Settings!$B$19:$B$58,MIN(40,INT((442-1)/12)+1)))</f>
        <v/>
      </c>
      <c r="E446" s="62">
        <f>E445*(1+INDEX(Settings!$E$13:$E$16,MATCH(C446,Settings!$A$13:$A$16,0)))+D446</f>
        <v/>
      </c>
      <c r="F446" s="62">
        <f>F445*(1+INDEX(Settings!$I$13:$I$16,MATCH(C446,Settings!$A$13:$A$16,0)))+D446</f>
        <v/>
      </c>
      <c r="G446" s="62">
        <f>G445*(1+INDEX(Settings!$J$13:$J$16,MATCH(C446,Settings!$A$13:$A$16,0)))+D446</f>
        <v/>
      </c>
    </row>
    <row r="447">
      <c r="A447" s="45" t="n">
        <v>443</v>
      </c>
      <c r="B447" s="67">
        <f>Dashboard!$C$5+(443-1)/12</f>
        <v/>
      </c>
      <c r="C447" s="27">
        <f>INDEX(Dashboard!$C$14:$C$21,MIN(8,INT((443-1)/60)+1))</f>
        <v/>
      </c>
      <c r="D447" s="62">
        <f>MIN(Dashboard!$C$9,INDEX(Settings!$B$19:$B$58,MIN(40,INT((443-1)/12)+1)))</f>
        <v/>
      </c>
      <c r="E447" s="62">
        <f>E446*(1+INDEX(Settings!$E$13:$E$16,MATCH(C447,Settings!$A$13:$A$16,0)))+D447</f>
        <v/>
      </c>
      <c r="F447" s="62">
        <f>F446*(1+INDEX(Settings!$I$13:$I$16,MATCH(C447,Settings!$A$13:$A$16,0)))+D447</f>
        <v/>
      </c>
      <c r="G447" s="62">
        <f>G446*(1+INDEX(Settings!$J$13:$J$16,MATCH(C447,Settings!$A$13:$A$16,0)))+D447</f>
        <v/>
      </c>
    </row>
    <row r="448">
      <c r="A448" s="45" t="n">
        <v>444</v>
      </c>
      <c r="B448" s="67">
        <f>Dashboard!$C$5+(444-1)/12</f>
        <v/>
      </c>
      <c r="C448" s="27">
        <f>INDEX(Dashboard!$C$14:$C$21,MIN(8,INT((444-1)/60)+1))</f>
        <v/>
      </c>
      <c r="D448" s="62">
        <f>MIN(Dashboard!$C$9,INDEX(Settings!$B$19:$B$58,MIN(40,INT((444-1)/12)+1)))</f>
        <v/>
      </c>
      <c r="E448" s="62">
        <f>E447*(1+INDEX(Settings!$E$13:$E$16,MATCH(C448,Settings!$A$13:$A$16,0)))+D448</f>
        <v/>
      </c>
      <c r="F448" s="62">
        <f>F447*(1+INDEX(Settings!$I$13:$I$16,MATCH(C448,Settings!$A$13:$A$16,0)))+D448</f>
        <v/>
      </c>
      <c r="G448" s="62">
        <f>G447*(1+INDEX(Settings!$J$13:$J$16,MATCH(C448,Settings!$A$13:$A$16,0)))+D448</f>
        <v/>
      </c>
    </row>
    <row r="449">
      <c r="A449" s="45" t="n">
        <v>445</v>
      </c>
      <c r="B449" s="67">
        <f>Dashboard!$C$5+(445-1)/12</f>
        <v/>
      </c>
      <c r="C449" s="27">
        <f>INDEX(Dashboard!$C$14:$C$21,MIN(8,INT((445-1)/60)+1))</f>
        <v/>
      </c>
      <c r="D449" s="62">
        <f>MIN(Dashboard!$C$9,INDEX(Settings!$B$19:$B$58,MIN(40,INT((445-1)/12)+1)))</f>
        <v/>
      </c>
      <c r="E449" s="62">
        <f>E448*(1+INDEX(Settings!$E$13:$E$16,MATCH(C449,Settings!$A$13:$A$16,0)))+D449</f>
        <v/>
      </c>
      <c r="F449" s="62">
        <f>F448*(1+INDEX(Settings!$I$13:$I$16,MATCH(C449,Settings!$A$13:$A$16,0)))+D449</f>
        <v/>
      </c>
      <c r="G449" s="62">
        <f>G448*(1+INDEX(Settings!$J$13:$J$16,MATCH(C449,Settings!$A$13:$A$16,0)))+D449</f>
        <v/>
      </c>
    </row>
    <row r="450">
      <c r="A450" s="45" t="n">
        <v>446</v>
      </c>
      <c r="B450" s="67">
        <f>Dashboard!$C$5+(446-1)/12</f>
        <v/>
      </c>
      <c r="C450" s="27">
        <f>INDEX(Dashboard!$C$14:$C$21,MIN(8,INT((446-1)/60)+1))</f>
        <v/>
      </c>
      <c r="D450" s="62">
        <f>MIN(Dashboard!$C$9,INDEX(Settings!$B$19:$B$58,MIN(40,INT((446-1)/12)+1)))</f>
        <v/>
      </c>
      <c r="E450" s="62">
        <f>E449*(1+INDEX(Settings!$E$13:$E$16,MATCH(C450,Settings!$A$13:$A$16,0)))+D450</f>
        <v/>
      </c>
      <c r="F450" s="62">
        <f>F449*(1+INDEX(Settings!$I$13:$I$16,MATCH(C450,Settings!$A$13:$A$16,0)))+D450</f>
        <v/>
      </c>
      <c r="G450" s="62">
        <f>G449*(1+INDEX(Settings!$J$13:$J$16,MATCH(C450,Settings!$A$13:$A$16,0)))+D450</f>
        <v/>
      </c>
    </row>
    <row r="451">
      <c r="A451" s="45" t="n">
        <v>447</v>
      </c>
      <c r="B451" s="67">
        <f>Dashboard!$C$5+(447-1)/12</f>
        <v/>
      </c>
      <c r="C451" s="27">
        <f>INDEX(Dashboard!$C$14:$C$21,MIN(8,INT((447-1)/60)+1))</f>
        <v/>
      </c>
      <c r="D451" s="62">
        <f>MIN(Dashboard!$C$9,INDEX(Settings!$B$19:$B$58,MIN(40,INT((447-1)/12)+1)))</f>
        <v/>
      </c>
      <c r="E451" s="62">
        <f>E450*(1+INDEX(Settings!$E$13:$E$16,MATCH(C451,Settings!$A$13:$A$16,0)))+D451</f>
        <v/>
      </c>
      <c r="F451" s="62">
        <f>F450*(1+INDEX(Settings!$I$13:$I$16,MATCH(C451,Settings!$A$13:$A$16,0)))+D451</f>
        <v/>
      </c>
      <c r="G451" s="62">
        <f>G450*(1+INDEX(Settings!$J$13:$J$16,MATCH(C451,Settings!$A$13:$A$16,0)))+D451</f>
        <v/>
      </c>
    </row>
    <row r="452">
      <c r="A452" s="45" t="n">
        <v>448</v>
      </c>
      <c r="B452" s="67">
        <f>Dashboard!$C$5+(448-1)/12</f>
        <v/>
      </c>
      <c r="C452" s="27">
        <f>INDEX(Dashboard!$C$14:$C$21,MIN(8,INT((448-1)/60)+1))</f>
        <v/>
      </c>
      <c r="D452" s="62">
        <f>MIN(Dashboard!$C$9,INDEX(Settings!$B$19:$B$58,MIN(40,INT((448-1)/12)+1)))</f>
        <v/>
      </c>
      <c r="E452" s="62">
        <f>E451*(1+INDEX(Settings!$E$13:$E$16,MATCH(C452,Settings!$A$13:$A$16,0)))+D452</f>
        <v/>
      </c>
      <c r="F452" s="62">
        <f>F451*(1+INDEX(Settings!$I$13:$I$16,MATCH(C452,Settings!$A$13:$A$16,0)))+D452</f>
        <v/>
      </c>
      <c r="G452" s="62">
        <f>G451*(1+INDEX(Settings!$J$13:$J$16,MATCH(C452,Settings!$A$13:$A$16,0)))+D452</f>
        <v/>
      </c>
    </row>
    <row r="453">
      <c r="A453" s="45" t="n">
        <v>449</v>
      </c>
      <c r="B453" s="67">
        <f>Dashboard!$C$5+(449-1)/12</f>
        <v/>
      </c>
      <c r="C453" s="27">
        <f>INDEX(Dashboard!$C$14:$C$21,MIN(8,INT((449-1)/60)+1))</f>
        <v/>
      </c>
      <c r="D453" s="62">
        <f>MIN(Dashboard!$C$9,INDEX(Settings!$B$19:$B$58,MIN(40,INT((449-1)/12)+1)))</f>
        <v/>
      </c>
      <c r="E453" s="62">
        <f>E452*(1+INDEX(Settings!$E$13:$E$16,MATCH(C453,Settings!$A$13:$A$16,0)))+D453</f>
        <v/>
      </c>
      <c r="F453" s="62">
        <f>F452*(1+INDEX(Settings!$I$13:$I$16,MATCH(C453,Settings!$A$13:$A$16,0)))+D453</f>
        <v/>
      </c>
      <c r="G453" s="62">
        <f>G452*(1+INDEX(Settings!$J$13:$J$16,MATCH(C453,Settings!$A$13:$A$16,0)))+D453</f>
        <v/>
      </c>
    </row>
    <row r="454">
      <c r="A454" s="45" t="n">
        <v>450</v>
      </c>
      <c r="B454" s="67">
        <f>Dashboard!$C$5+(450-1)/12</f>
        <v/>
      </c>
      <c r="C454" s="27">
        <f>INDEX(Dashboard!$C$14:$C$21,MIN(8,INT((450-1)/60)+1))</f>
        <v/>
      </c>
      <c r="D454" s="62">
        <f>MIN(Dashboard!$C$9,INDEX(Settings!$B$19:$B$58,MIN(40,INT((450-1)/12)+1)))</f>
        <v/>
      </c>
      <c r="E454" s="62">
        <f>E453*(1+INDEX(Settings!$E$13:$E$16,MATCH(C454,Settings!$A$13:$A$16,0)))+D454</f>
        <v/>
      </c>
      <c r="F454" s="62">
        <f>F453*(1+INDEX(Settings!$I$13:$I$16,MATCH(C454,Settings!$A$13:$A$16,0)))+D454</f>
        <v/>
      </c>
      <c r="G454" s="62">
        <f>G453*(1+INDEX(Settings!$J$13:$J$16,MATCH(C454,Settings!$A$13:$A$16,0)))+D454</f>
        <v/>
      </c>
    </row>
    <row r="455">
      <c r="A455" s="45" t="n">
        <v>451</v>
      </c>
      <c r="B455" s="67">
        <f>Dashboard!$C$5+(451-1)/12</f>
        <v/>
      </c>
      <c r="C455" s="27">
        <f>INDEX(Dashboard!$C$14:$C$21,MIN(8,INT((451-1)/60)+1))</f>
        <v/>
      </c>
      <c r="D455" s="62">
        <f>MIN(Dashboard!$C$9,INDEX(Settings!$B$19:$B$58,MIN(40,INT((451-1)/12)+1)))</f>
        <v/>
      </c>
      <c r="E455" s="62">
        <f>E454*(1+INDEX(Settings!$E$13:$E$16,MATCH(C455,Settings!$A$13:$A$16,0)))+D455</f>
        <v/>
      </c>
      <c r="F455" s="62">
        <f>F454*(1+INDEX(Settings!$I$13:$I$16,MATCH(C455,Settings!$A$13:$A$16,0)))+D455</f>
        <v/>
      </c>
      <c r="G455" s="62">
        <f>G454*(1+INDEX(Settings!$J$13:$J$16,MATCH(C455,Settings!$A$13:$A$16,0)))+D455</f>
        <v/>
      </c>
    </row>
    <row r="456">
      <c r="A456" s="45" t="n">
        <v>452</v>
      </c>
      <c r="B456" s="67">
        <f>Dashboard!$C$5+(452-1)/12</f>
        <v/>
      </c>
      <c r="C456" s="27">
        <f>INDEX(Dashboard!$C$14:$C$21,MIN(8,INT((452-1)/60)+1))</f>
        <v/>
      </c>
      <c r="D456" s="62">
        <f>MIN(Dashboard!$C$9,INDEX(Settings!$B$19:$B$58,MIN(40,INT((452-1)/12)+1)))</f>
        <v/>
      </c>
      <c r="E456" s="62">
        <f>E455*(1+INDEX(Settings!$E$13:$E$16,MATCH(C456,Settings!$A$13:$A$16,0)))+D456</f>
        <v/>
      </c>
      <c r="F456" s="62">
        <f>F455*(1+INDEX(Settings!$I$13:$I$16,MATCH(C456,Settings!$A$13:$A$16,0)))+D456</f>
        <v/>
      </c>
      <c r="G456" s="62">
        <f>G455*(1+INDEX(Settings!$J$13:$J$16,MATCH(C456,Settings!$A$13:$A$16,0)))+D456</f>
        <v/>
      </c>
    </row>
    <row r="457">
      <c r="A457" s="45" t="n">
        <v>453</v>
      </c>
      <c r="B457" s="67">
        <f>Dashboard!$C$5+(453-1)/12</f>
        <v/>
      </c>
      <c r="C457" s="27">
        <f>INDEX(Dashboard!$C$14:$C$21,MIN(8,INT((453-1)/60)+1))</f>
        <v/>
      </c>
      <c r="D457" s="62">
        <f>MIN(Dashboard!$C$9,INDEX(Settings!$B$19:$B$58,MIN(40,INT((453-1)/12)+1)))</f>
        <v/>
      </c>
      <c r="E457" s="62">
        <f>E456*(1+INDEX(Settings!$E$13:$E$16,MATCH(C457,Settings!$A$13:$A$16,0)))+D457</f>
        <v/>
      </c>
      <c r="F457" s="62">
        <f>F456*(1+INDEX(Settings!$I$13:$I$16,MATCH(C457,Settings!$A$13:$A$16,0)))+D457</f>
        <v/>
      </c>
      <c r="G457" s="62">
        <f>G456*(1+INDEX(Settings!$J$13:$J$16,MATCH(C457,Settings!$A$13:$A$16,0)))+D457</f>
        <v/>
      </c>
    </row>
    <row r="458">
      <c r="A458" s="45" t="n">
        <v>454</v>
      </c>
      <c r="B458" s="67">
        <f>Dashboard!$C$5+(454-1)/12</f>
        <v/>
      </c>
      <c r="C458" s="27">
        <f>INDEX(Dashboard!$C$14:$C$21,MIN(8,INT((454-1)/60)+1))</f>
        <v/>
      </c>
      <c r="D458" s="62">
        <f>MIN(Dashboard!$C$9,INDEX(Settings!$B$19:$B$58,MIN(40,INT((454-1)/12)+1)))</f>
        <v/>
      </c>
      <c r="E458" s="62">
        <f>E457*(1+INDEX(Settings!$E$13:$E$16,MATCH(C458,Settings!$A$13:$A$16,0)))+D458</f>
        <v/>
      </c>
      <c r="F458" s="62">
        <f>F457*(1+INDEX(Settings!$I$13:$I$16,MATCH(C458,Settings!$A$13:$A$16,0)))+D458</f>
        <v/>
      </c>
      <c r="G458" s="62">
        <f>G457*(1+INDEX(Settings!$J$13:$J$16,MATCH(C458,Settings!$A$13:$A$16,0)))+D458</f>
        <v/>
      </c>
    </row>
    <row r="459">
      <c r="A459" s="45" t="n">
        <v>455</v>
      </c>
      <c r="B459" s="67">
        <f>Dashboard!$C$5+(455-1)/12</f>
        <v/>
      </c>
      <c r="C459" s="27">
        <f>INDEX(Dashboard!$C$14:$C$21,MIN(8,INT((455-1)/60)+1))</f>
        <v/>
      </c>
      <c r="D459" s="62">
        <f>MIN(Dashboard!$C$9,INDEX(Settings!$B$19:$B$58,MIN(40,INT((455-1)/12)+1)))</f>
        <v/>
      </c>
      <c r="E459" s="62">
        <f>E458*(1+INDEX(Settings!$E$13:$E$16,MATCH(C459,Settings!$A$13:$A$16,0)))+D459</f>
        <v/>
      </c>
      <c r="F459" s="62">
        <f>F458*(1+INDEX(Settings!$I$13:$I$16,MATCH(C459,Settings!$A$13:$A$16,0)))+D459</f>
        <v/>
      </c>
      <c r="G459" s="62">
        <f>G458*(1+INDEX(Settings!$J$13:$J$16,MATCH(C459,Settings!$A$13:$A$16,0)))+D459</f>
        <v/>
      </c>
    </row>
    <row r="460">
      <c r="A460" s="45" t="n">
        <v>456</v>
      </c>
      <c r="B460" s="67">
        <f>Dashboard!$C$5+(456-1)/12</f>
        <v/>
      </c>
      <c r="C460" s="27">
        <f>INDEX(Dashboard!$C$14:$C$21,MIN(8,INT((456-1)/60)+1))</f>
        <v/>
      </c>
      <c r="D460" s="62">
        <f>MIN(Dashboard!$C$9,INDEX(Settings!$B$19:$B$58,MIN(40,INT((456-1)/12)+1)))</f>
        <v/>
      </c>
      <c r="E460" s="62">
        <f>E459*(1+INDEX(Settings!$E$13:$E$16,MATCH(C460,Settings!$A$13:$A$16,0)))+D460</f>
        <v/>
      </c>
      <c r="F460" s="62">
        <f>F459*(1+INDEX(Settings!$I$13:$I$16,MATCH(C460,Settings!$A$13:$A$16,0)))+D460</f>
        <v/>
      </c>
      <c r="G460" s="62">
        <f>G459*(1+INDEX(Settings!$J$13:$J$16,MATCH(C460,Settings!$A$13:$A$16,0)))+D460</f>
        <v/>
      </c>
    </row>
    <row r="461">
      <c r="A461" s="45" t="n">
        <v>457</v>
      </c>
      <c r="B461" s="67">
        <f>Dashboard!$C$5+(457-1)/12</f>
        <v/>
      </c>
      <c r="C461" s="27">
        <f>INDEX(Dashboard!$C$14:$C$21,MIN(8,INT((457-1)/60)+1))</f>
        <v/>
      </c>
      <c r="D461" s="62">
        <f>MIN(Dashboard!$C$9,INDEX(Settings!$B$19:$B$58,MIN(40,INT((457-1)/12)+1)))</f>
        <v/>
      </c>
      <c r="E461" s="62">
        <f>E460*(1+INDEX(Settings!$E$13:$E$16,MATCH(C461,Settings!$A$13:$A$16,0)))+D461</f>
        <v/>
      </c>
      <c r="F461" s="62">
        <f>F460*(1+INDEX(Settings!$I$13:$I$16,MATCH(C461,Settings!$A$13:$A$16,0)))+D461</f>
        <v/>
      </c>
      <c r="G461" s="62">
        <f>G460*(1+INDEX(Settings!$J$13:$J$16,MATCH(C461,Settings!$A$13:$A$16,0)))+D461</f>
        <v/>
      </c>
    </row>
    <row r="462">
      <c r="A462" s="45" t="n">
        <v>458</v>
      </c>
      <c r="B462" s="67">
        <f>Dashboard!$C$5+(458-1)/12</f>
        <v/>
      </c>
      <c r="C462" s="27">
        <f>INDEX(Dashboard!$C$14:$C$21,MIN(8,INT((458-1)/60)+1))</f>
        <v/>
      </c>
      <c r="D462" s="62">
        <f>MIN(Dashboard!$C$9,INDEX(Settings!$B$19:$B$58,MIN(40,INT((458-1)/12)+1)))</f>
        <v/>
      </c>
      <c r="E462" s="62">
        <f>E461*(1+INDEX(Settings!$E$13:$E$16,MATCH(C462,Settings!$A$13:$A$16,0)))+D462</f>
        <v/>
      </c>
      <c r="F462" s="62">
        <f>F461*(1+INDEX(Settings!$I$13:$I$16,MATCH(C462,Settings!$A$13:$A$16,0)))+D462</f>
        <v/>
      </c>
      <c r="G462" s="62">
        <f>G461*(1+INDEX(Settings!$J$13:$J$16,MATCH(C462,Settings!$A$13:$A$16,0)))+D462</f>
        <v/>
      </c>
    </row>
    <row r="463">
      <c r="A463" s="45" t="n">
        <v>459</v>
      </c>
      <c r="B463" s="67">
        <f>Dashboard!$C$5+(459-1)/12</f>
        <v/>
      </c>
      <c r="C463" s="27">
        <f>INDEX(Dashboard!$C$14:$C$21,MIN(8,INT((459-1)/60)+1))</f>
        <v/>
      </c>
      <c r="D463" s="62">
        <f>MIN(Dashboard!$C$9,INDEX(Settings!$B$19:$B$58,MIN(40,INT((459-1)/12)+1)))</f>
        <v/>
      </c>
      <c r="E463" s="62">
        <f>E462*(1+INDEX(Settings!$E$13:$E$16,MATCH(C463,Settings!$A$13:$A$16,0)))+D463</f>
        <v/>
      </c>
      <c r="F463" s="62">
        <f>F462*(1+INDEX(Settings!$I$13:$I$16,MATCH(C463,Settings!$A$13:$A$16,0)))+D463</f>
        <v/>
      </c>
      <c r="G463" s="62">
        <f>G462*(1+INDEX(Settings!$J$13:$J$16,MATCH(C463,Settings!$A$13:$A$16,0)))+D463</f>
        <v/>
      </c>
    </row>
    <row r="464">
      <c r="A464" s="45" t="n">
        <v>460</v>
      </c>
      <c r="B464" s="67">
        <f>Dashboard!$C$5+(460-1)/12</f>
        <v/>
      </c>
      <c r="C464" s="27">
        <f>INDEX(Dashboard!$C$14:$C$21,MIN(8,INT((460-1)/60)+1))</f>
        <v/>
      </c>
      <c r="D464" s="62">
        <f>MIN(Dashboard!$C$9,INDEX(Settings!$B$19:$B$58,MIN(40,INT((460-1)/12)+1)))</f>
        <v/>
      </c>
      <c r="E464" s="62">
        <f>E463*(1+INDEX(Settings!$E$13:$E$16,MATCH(C464,Settings!$A$13:$A$16,0)))+D464</f>
        <v/>
      </c>
      <c r="F464" s="62">
        <f>F463*(1+INDEX(Settings!$I$13:$I$16,MATCH(C464,Settings!$A$13:$A$16,0)))+D464</f>
        <v/>
      </c>
      <c r="G464" s="62">
        <f>G463*(1+INDEX(Settings!$J$13:$J$16,MATCH(C464,Settings!$A$13:$A$16,0)))+D464</f>
        <v/>
      </c>
    </row>
    <row r="465">
      <c r="A465" s="45" t="n">
        <v>461</v>
      </c>
      <c r="B465" s="67">
        <f>Dashboard!$C$5+(461-1)/12</f>
        <v/>
      </c>
      <c r="C465" s="27">
        <f>INDEX(Dashboard!$C$14:$C$21,MIN(8,INT((461-1)/60)+1))</f>
        <v/>
      </c>
      <c r="D465" s="62">
        <f>MIN(Dashboard!$C$9,INDEX(Settings!$B$19:$B$58,MIN(40,INT((461-1)/12)+1)))</f>
        <v/>
      </c>
      <c r="E465" s="62">
        <f>E464*(1+INDEX(Settings!$E$13:$E$16,MATCH(C465,Settings!$A$13:$A$16,0)))+D465</f>
        <v/>
      </c>
      <c r="F465" s="62">
        <f>F464*(1+INDEX(Settings!$I$13:$I$16,MATCH(C465,Settings!$A$13:$A$16,0)))+D465</f>
        <v/>
      </c>
      <c r="G465" s="62">
        <f>G464*(1+INDEX(Settings!$J$13:$J$16,MATCH(C465,Settings!$A$13:$A$16,0)))+D465</f>
        <v/>
      </c>
    </row>
    <row r="466">
      <c r="A466" s="45" t="n">
        <v>462</v>
      </c>
      <c r="B466" s="67">
        <f>Dashboard!$C$5+(462-1)/12</f>
        <v/>
      </c>
      <c r="C466" s="27">
        <f>INDEX(Dashboard!$C$14:$C$21,MIN(8,INT((462-1)/60)+1))</f>
        <v/>
      </c>
      <c r="D466" s="62">
        <f>MIN(Dashboard!$C$9,INDEX(Settings!$B$19:$B$58,MIN(40,INT((462-1)/12)+1)))</f>
        <v/>
      </c>
      <c r="E466" s="62">
        <f>E465*(1+INDEX(Settings!$E$13:$E$16,MATCH(C466,Settings!$A$13:$A$16,0)))+D466</f>
        <v/>
      </c>
      <c r="F466" s="62">
        <f>F465*(1+INDEX(Settings!$I$13:$I$16,MATCH(C466,Settings!$A$13:$A$16,0)))+D466</f>
        <v/>
      </c>
      <c r="G466" s="62">
        <f>G465*(1+INDEX(Settings!$J$13:$J$16,MATCH(C466,Settings!$A$13:$A$16,0)))+D466</f>
        <v/>
      </c>
    </row>
    <row r="467">
      <c r="A467" s="45" t="n">
        <v>463</v>
      </c>
      <c r="B467" s="67">
        <f>Dashboard!$C$5+(463-1)/12</f>
        <v/>
      </c>
      <c r="C467" s="27">
        <f>INDEX(Dashboard!$C$14:$C$21,MIN(8,INT((463-1)/60)+1))</f>
        <v/>
      </c>
      <c r="D467" s="62">
        <f>MIN(Dashboard!$C$9,INDEX(Settings!$B$19:$B$58,MIN(40,INT((463-1)/12)+1)))</f>
        <v/>
      </c>
      <c r="E467" s="62">
        <f>E466*(1+INDEX(Settings!$E$13:$E$16,MATCH(C467,Settings!$A$13:$A$16,0)))+D467</f>
        <v/>
      </c>
      <c r="F467" s="62">
        <f>F466*(1+INDEX(Settings!$I$13:$I$16,MATCH(C467,Settings!$A$13:$A$16,0)))+D467</f>
        <v/>
      </c>
      <c r="G467" s="62">
        <f>G466*(1+INDEX(Settings!$J$13:$J$16,MATCH(C467,Settings!$A$13:$A$16,0)))+D467</f>
        <v/>
      </c>
    </row>
    <row r="468">
      <c r="A468" s="45" t="n">
        <v>464</v>
      </c>
      <c r="B468" s="67">
        <f>Dashboard!$C$5+(464-1)/12</f>
        <v/>
      </c>
      <c r="C468" s="27">
        <f>INDEX(Dashboard!$C$14:$C$21,MIN(8,INT((464-1)/60)+1))</f>
        <v/>
      </c>
      <c r="D468" s="62">
        <f>MIN(Dashboard!$C$9,INDEX(Settings!$B$19:$B$58,MIN(40,INT((464-1)/12)+1)))</f>
        <v/>
      </c>
      <c r="E468" s="62">
        <f>E467*(1+INDEX(Settings!$E$13:$E$16,MATCH(C468,Settings!$A$13:$A$16,0)))+D468</f>
        <v/>
      </c>
      <c r="F468" s="62">
        <f>F467*(1+INDEX(Settings!$I$13:$I$16,MATCH(C468,Settings!$A$13:$A$16,0)))+D468</f>
        <v/>
      </c>
      <c r="G468" s="62">
        <f>G467*(1+INDEX(Settings!$J$13:$J$16,MATCH(C468,Settings!$A$13:$A$16,0)))+D468</f>
        <v/>
      </c>
    </row>
    <row r="469">
      <c r="A469" s="45" t="n">
        <v>465</v>
      </c>
      <c r="B469" s="67">
        <f>Dashboard!$C$5+(465-1)/12</f>
        <v/>
      </c>
      <c r="C469" s="27">
        <f>INDEX(Dashboard!$C$14:$C$21,MIN(8,INT((465-1)/60)+1))</f>
        <v/>
      </c>
      <c r="D469" s="62">
        <f>MIN(Dashboard!$C$9,INDEX(Settings!$B$19:$B$58,MIN(40,INT((465-1)/12)+1)))</f>
        <v/>
      </c>
      <c r="E469" s="62">
        <f>E468*(1+INDEX(Settings!$E$13:$E$16,MATCH(C469,Settings!$A$13:$A$16,0)))+D469</f>
        <v/>
      </c>
      <c r="F469" s="62">
        <f>F468*(1+INDEX(Settings!$I$13:$I$16,MATCH(C469,Settings!$A$13:$A$16,0)))+D469</f>
        <v/>
      </c>
      <c r="G469" s="62">
        <f>G468*(1+INDEX(Settings!$J$13:$J$16,MATCH(C469,Settings!$A$13:$A$16,0)))+D469</f>
        <v/>
      </c>
    </row>
    <row r="470">
      <c r="A470" s="45" t="n">
        <v>466</v>
      </c>
      <c r="B470" s="67">
        <f>Dashboard!$C$5+(466-1)/12</f>
        <v/>
      </c>
      <c r="C470" s="27">
        <f>INDEX(Dashboard!$C$14:$C$21,MIN(8,INT((466-1)/60)+1))</f>
        <v/>
      </c>
      <c r="D470" s="62">
        <f>MIN(Dashboard!$C$9,INDEX(Settings!$B$19:$B$58,MIN(40,INT((466-1)/12)+1)))</f>
        <v/>
      </c>
      <c r="E470" s="62">
        <f>E469*(1+INDEX(Settings!$E$13:$E$16,MATCH(C470,Settings!$A$13:$A$16,0)))+D470</f>
        <v/>
      </c>
      <c r="F470" s="62">
        <f>F469*(1+INDEX(Settings!$I$13:$I$16,MATCH(C470,Settings!$A$13:$A$16,0)))+D470</f>
        <v/>
      </c>
      <c r="G470" s="62">
        <f>G469*(1+INDEX(Settings!$J$13:$J$16,MATCH(C470,Settings!$A$13:$A$16,0)))+D470</f>
        <v/>
      </c>
    </row>
    <row r="471">
      <c r="A471" s="45" t="n">
        <v>467</v>
      </c>
      <c r="B471" s="67">
        <f>Dashboard!$C$5+(467-1)/12</f>
        <v/>
      </c>
      <c r="C471" s="27">
        <f>INDEX(Dashboard!$C$14:$C$21,MIN(8,INT((467-1)/60)+1))</f>
        <v/>
      </c>
      <c r="D471" s="62">
        <f>MIN(Dashboard!$C$9,INDEX(Settings!$B$19:$B$58,MIN(40,INT((467-1)/12)+1)))</f>
        <v/>
      </c>
      <c r="E471" s="62">
        <f>E470*(1+INDEX(Settings!$E$13:$E$16,MATCH(C471,Settings!$A$13:$A$16,0)))+D471</f>
        <v/>
      </c>
      <c r="F471" s="62">
        <f>F470*(1+INDEX(Settings!$I$13:$I$16,MATCH(C471,Settings!$A$13:$A$16,0)))+D471</f>
        <v/>
      </c>
      <c r="G471" s="62">
        <f>G470*(1+INDEX(Settings!$J$13:$J$16,MATCH(C471,Settings!$A$13:$A$16,0)))+D471</f>
        <v/>
      </c>
    </row>
    <row r="472">
      <c r="A472" s="45" t="n">
        <v>468</v>
      </c>
      <c r="B472" s="67">
        <f>Dashboard!$C$5+(468-1)/12</f>
        <v/>
      </c>
      <c r="C472" s="27">
        <f>INDEX(Dashboard!$C$14:$C$21,MIN(8,INT((468-1)/60)+1))</f>
        <v/>
      </c>
      <c r="D472" s="62">
        <f>MIN(Dashboard!$C$9,INDEX(Settings!$B$19:$B$58,MIN(40,INT((468-1)/12)+1)))</f>
        <v/>
      </c>
      <c r="E472" s="62">
        <f>E471*(1+INDEX(Settings!$E$13:$E$16,MATCH(C472,Settings!$A$13:$A$16,0)))+D472</f>
        <v/>
      </c>
      <c r="F472" s="62">
        <f>F471*(1+INDEX(Settings!$I$13:$I$16,MATCH(C472,Settings!$A$13:$A$16,0)))+D472</f>
        <v/>
      </c>
      <c r="G472" s="62">
        <f>G471*(1+INDEX(Settings!$J$13:$J$16,MATCH(C472,Settings!$A$13:$A$16,0)))+D472</f>
        <v/>
      </c>
    </row>
    <row r="473">
      <c r="A473" s="45" t="n">
        <v>469</v>
      </c>
      <c r="B473" s="67">
        <f>Dashboard!$C$5+(469-1)/12</f>
        <v/>
      </c>
      <c r="C473" s="27">
        <f>INDEX(Dashboard!$C$14:$C$21,MIN(8,INT((469-1)/60)+1))</f>
        <v/>
      </c>
      <c r="D473" s="62">
        <f>MIN(Dashboard!$C$9,INDEX(Settings!$B$19:$B$58,MIN(40,INT((469-1)/12)+1)))</f>
        <v/>
      </c>
      <c r="E473" s="62">
        <f>E472*(1+INDEX(Settings!$E$13:$E$16,MATCH(C473,Settings!$A$13:$A$16,0)))+D473</f>
        <v/>
      </c>
      <c r="F473" s="62">
        <f>F472*(1+INDEX(Settings!$I$13:$I$16,MATCH(C473,Settings!$A$13:$A$16,0)))+D473</f>
        <v/>
      </c>
      <c r="G473" s="62">
        <f>G472*(1+INDEX(Settings!$J$13:$J$16,MATCH(C473,Settings!$A$13:$A$16,0)))+D473</f>
        <v/>
      </c>
    </row>
    <row r="474">
      <c r="A474" s="45" t="n">
        <v>470</v>
      </c>
      <c r="B474" s="67">
        <f>Dashboard!$C$5+(470-1)/12</f>
        <v/>
      </c>
      <c r="C474" s="27">
        <f>INDEX(Dashboard!$C$14:$C$21,MIN(8,INT((470-1)/60)+1))</f>
        <v/>
      </c>
      <c r="D474" s="62">
        <f>MIN(Dashboard!$C$9,INDEX(Settings!$B$19:$B$58,MIN(40,INT((470-1)/12)+1)))</f>
        <v/>
      </c>
      <c r="E474" s="62">
        <f>E473*(1+INDEX(Settings!$E$13:$E$16,MATCH(C474,Settings!$A$13:$A$16,0)))+D474</f>
        <v/>
      </c>
      <c r="F474" s="62">
        <f>F473*(1+INDEX(Settings!$I$13:$I$16,MATCH(C474,Settings!$A$13:$A$16,0)))+D474</f>
        <v/>
      </c>
      <c r="G474" s="62">
        <f>G473*(1+INDEX(Settings!$J$13:$J$16,MATCH(C474,Settings!$A$13:$A$16,0)))+D474</f>
        <v/>
      </c>
    </row>
    <row r="475">
      <c r="A475" s="45" t="n">
        <v>471</v>
      </c>
      <c r="B475" s="67">
        <f>Dashboard!$C$5+(471-1)/12</f>
        <v/>
      </c>
      <c r="C475" s="27">
        <f>INDEX(Dashboard!$C$14:$C$21,MIN(8,INT((471-1)/60)+1))</f>
        <v/>
      </c>
      <c r="D475" s="62">
        <f>MIN(Dashboard!$C$9,INDEX(Settings!$B$19:$B$58,MIN(40,INT((471-1)/12)+1)))</f>
        <v/>
      </c>
      <c r="E475" s="62">
        <f>E474*(1+INDEX(Settings!$E$13:$E$16,MATCH(C475,Settings!$A$13:$A$16,0)))+D475</f>
        <v/>
      </c>
      <c r="F475" s="62">
        <f>F474*(1+INDEX(Settings!$I$13:$I$16,MATCH(C475,Settings!$A$13:$A$16,0)))+D475</f>
        <v/>
      </c>
      <c r="G475" s="62">
        <f>G474*(1+INDEX(Settings!$J$13:$J$16,MATCH(C475,Settings!$A$13:$A$16,0)))+D475</f>
        <v/>
      </c>
    </row>
    <row r="476">
      <c r="A476" s="45" t="n">
        <v>472</v>
      </c>
      <c r="B476" s="67">
        <f>Dashboard!$C$5+(472-1)/12</f>
        <v/>
      </c>
      <c r="C476" s="27">
        <f>INDEX(Dashboard!$C$14:$C$21,MIN(8,INT((472-1)/60)+1))</f>
        <v/>
      </c>
      <c r="D476" s="62">
        <f>MIN(Dashboard!$C$9,INDEX(Settings!$B$19:$B$58,MIN(40,INT((472-1)/12)+1)))</f>
        <v/>
      </c>
      <c r="E476" s="62">
        <f>E475*(1+INDEX(Settings!$E$13:$E$16,MATCH(C476,Settings!$A$13:$A$16,0)))+D476</f>
        <v/>
      </c>
      <c r="F476" s="62">
        <f>F475*(1+INDEX(Settings!$I$13:$I$16,MATCH(C476,Settings!$A$13:$A$16,0)))+D476</f>
        <v/>
      </c>
      <c r="G476" s="62">
        <f>G475*(1+INDEX(Settings!$J$13:$J$16,MATCH(C476,Settings!$A$13:$A$16,0)))+D476</f>
        <v/>
      </c>
    </row>
    <row r="477">
      <c r="A477" s="45" t="n">
        <v>473</v>
      </c>
      <c r="B477" s="67">
        <f>Dashboard!$C$5+(473-1)/12</f>
        <v/>
      </c>
      <c r="C477" s="27">
        <f>INDEX(Dashboard!$C$14:$C$21,MIN(8,INT((473-1)/60)+1))</f>
        <v/>
      </c>
      <c r="D477" s="62">
        <f>MIN(Dashboard!$C$9,INDEX(Settings!$B$19:$B$58,MIN(40,INT((473-1)/12)+1)))</f>
        <v/>
      </c>
      <c r="E477" s="62">
        <f>E476*(1+INDEX(Settings!$E$13:$E$16,MATCH(C477,Settings!$A$13:$A$16,0)))+D477</f>
        <v/>
      </c>
      <c r="F477" s="62">
        <f>F476*(1+INDEX(Settings!$I$13:$I$16,MATCH(C477,Settings!$A$13:$A$16,0)))+D477</f>
        <v/>
      </c>
      <c r="G477" s="62">
        <f>G476*(1+INDEX(Settings!$J$13:$J$16,MATCH(C477,Settings!$A$13:$A$16,0)))+D477</f>
        <v/>
      </c>
    </row>
    <row r="478">
      <c r="A478" s="45" t="n">
        <v>474</v>
      </c>
      <c r="B478" s="67">
        <f>Dashboard!$C$5+(474-1)/12</f>
        <v/>
      </c>
      <c r="C478" s="27">
        <f>INDEX(Dashboard!$C$14:$C$21,MIN(8,INT((474-1)/60)+1))</f>
        <v/>
      </c>
      <c r="D478" s="62">
        <f>MIN(Dashboard!$C$9,INDEX(Settings!$B$19:$B$58,MIN(40,INT((474-1)/12)+1)))</f>
        <v/>
      </c>
      <c r="E478" s="62">
        <f>E477*(1+INDEX(Settings!$E$13:$E$16,MATCH(C478,Settings!$A$13:$A$16,0)))+D478</f>
        <v/>
      </c>
      <c r="F478" s="62">
        <f>F477*(1+INDEX(Settings!$I$13:$I$16,MATCH(C478,Settings!$A$13:$A$16,0)))+D478</f>
        <v/>
      </c>
      <c r="G478" s="62">
        <f>G477*(1+INDEX(Settings!$J$13:$J$16,MATCH(C478,Settings!$A$13:$A$16,0)))+D478</f>
        <v/>
      </c>
    </row>
    <row r="479">
      <c r="A479" s="45" t="n">
        <v>475</v>
      </c>
      <c r="B479" s="67">
        <f>Dashboard!$C$5+(475-1)/12</f>
        <v/>
      </c>
      <c r="C479" s="27">
        <f>INDEX(Dashboard!$C$14:$C$21,MIN(8,INT((475-1)/60)+1))</f>
        <v/>
      </c>
      <c r="D479" s="62">
        <f>MIN(Dashboard!$C$9,INDEX(Settings!$B$19:$B$58,MIN(40,INT((475-1)/12)+1)))</f>
        <v/>
      </c>
      <c r="E479" s="62">
        <f>E478*(1+INDEX(Settings!$E$13:$E$16,MATCH(C479,Settings!$A$13:$A$16,0)))+D479</f>
        <v/>
      </c>
      <c r="F479" s="62">
        <f>F478*(1+INDEX(Settings!$I$13:$I$16,MATCH(C479,Settings!$A$13:$A$16,0)))+D479</f>
        <v/>
      </c>
      <c r="G479" s="62">
        <f>G478*(1+INDEX(Settings!$J$13:$J$16,MATCH(C479,Settings!$A$13:$A$16,0)))+D479</f>
        <v/>
      </c>
    </row>
    <row r="480">
      <c r="A480" s="45" t="n">
        <v>476</v>
      </c>
      <c r="B480" s="67">
        <f>Dashboard!$C$5+(476-1)/12</f>
        <v/>
      </c>
      <c r="C480" s="27">
        <f>INDEX(Dashboard!$C$14:$C$21,MIN(8,INT((476-1)/60)+1))</f>
        <v/>
      </c>
      <c r="D480" s="62">
        <f>MIN(Dashboard!$C$9,INDEX(Settings!$B$19:$B$58,MIN(40,INT((476-1)/12)+1)))</f>
        <v/>
      </c>
      <c r="E480" s="62">
        <f>E479*(1+INDEX(Settings!$E$13:$E$16,MATCH(C480,Settings!$A$13:$A$16,0)))+D480</f>
        <v/>
      </c>
      <c r="F480" s="62">
        <f>F479*(1+INDEX(Settings!$I$13:$I$16,MATCH(C480,Settings!$A$13:$A$16,0)))+D480</f>
        <v/>
      </c>
      <c r="G480" s="62">
        <f>G479*(1+INDEX(Settings!$J$13:$J$16,MATCH(C480,Settings!$A$13:$A$16,0)))+D480</f>
        <v/>
      </c>
    </row>
    <row r="481">
      <c r="A481" s="45" t="n">
        <v>477</v>
      </c>
      <c r="B481" s="67">
        <f>Dashboard!$C$5+(477-1)/12</f>
        <v/>
      </c>
      <c r="C481" s="27">
        <f>INDEX(Dashboard!$C$14:$C$21,MIN(8,INT((477-1)/60)+1))</f>
        <v/>
      </c>
      <c r="D481" s="62">
        <f>MIN(Dashboard!$C$9,INDEX(Settings!$B$19:$B$58,MIN(40,INT((477-1)/12)+1)))</f>
        <v/>
      </c>
      <c r="E481" s="62">
        <f>E480*(1+INDEX(Settings!$E$13:$E$16,MATCH(C481,Settings!$A$13:$A$16,0)))+D481</f>
        <v/>
      </c>
      <c r="F481" s="62">
        <f>F480*(1+INDEX(Settings!$I$13:$I$16,MATCH(C481,Settings!$A$13:$A$16,0)))+D481</f>
        <v/>
      </c>
      <c r="G481" s="62">
        <f>G480*(1+INDEX(Settings!$J$13:$J$16,MATCH(C481,Settings!$A$13:$A$16,0)))+D481</f>
        <v/>
      </c>
    </row>
    <row r="482">
      <c r="A482" s="45" t="n">
        <v>478</v>
      </c>
      <c r="B482" s="67">
        <f>Dashboard!$C$5+(478-1)/12</f>
        <v/>
      </c>
      <c r="C482" s="27">
        <f>INDEX(Dashboard!$C$14:$C$21,MIN(8,INT((478-1)/60)+1))</f>
        <v/>
      </c>
      <c r="D482" s="62">
        <f>MIN(Dashboard!$C$9,INDEX(Settings!$B$19:$B$58,MIN(40,INT((478-1)/12)+1)))</f>
        <v/>
      </c>
      <c r="E482" s="62">
        <f>E481*(1+INDEX(Settings!$E$13:$E$16,MATCH(C482,Settings!$A$13:$A$16,0)))+D482</f>
        <v/>
      </c>
      <c r="F482" s="62">
        <f>F481*(1+INDEX(Settings!$I$13:$I$16,MATCH(C482,Settings!$A$13:$A$16,0)))+D482</f>
        <v/>
      </c>
      <c r="G482" s="62">
        <f>G481*(1+INDEX(Settings!$J$13:$J$16,MATCH(C482,Settings!$A$13:$A$16,0)))+D482</f>
        <v/>
      </c>
    </row>
    <row r="483">
      <c r="A483" s="45" t="n">
        <v>479</v>
      </c>
      <c r="B483" s="67">
        <f>Dashboard!$C$5+(479-1)/12</f>
        <v/>
      </c>
      <c r="C483" s="27">
        <f>INDEX(Dashboard!$C$14:$C$21,MIN(8,INT((479-1)/60)+1))</f>
        <v/>
      </c>
      <c r="D483" s="62">
        <f>MIN(Dashboard!$C$9,INDEX(Settings!$B$19:$B$58,MIN(40,INT((479-1)/12)+1)))</f>
        <v/>
      </c>
      <c r="E483" s="62">
        <f>E482*(1+INDEX(Settings!$E$13:$E$16,MATCH(C483,Settings!$A$13:$A$16,0)))+D483</f>
        <v/>
      </c>
      <c r="F483" s="62">
        <f>F482*(1+INDEX(Settings!$I$13:$I$16,MATCH(C483,Settings!$A$13:$A$16,0)))+D483</f>
        <v/>
      </c>
      <c r="G483" s="62">
        <f>G482*(1+INDEX(Settings!$J$13:$J$16,MATCH(C483,Settings!$A$13:$A$16,0)))+D483</f>
        <v/>
      </c>
    </row>
    <row r="484">
      <c r="A484" s="45" t="n">
        <v>480</v>
      </c>
      <c r="B484" s="67">
        <f>Dashboard!$C$5+(480-1)/12</f>
        <v/>
      </c>
      <c r="C484" s="27">
        <f>INDEX(Dashboard!$C$14:$C$21,MIN(8,INT((480-1)/60)+1))</f>
        <v/>
      </c>
      <c r="D484" s="62">
        <f>MIN(Dashboard!$C$9,INDEX(Settings!$B$19:$B$58,MIN(40,INT((480-1)/12)+1)))</f>
        <v/>
      </c>
      <c r="E484" s="62">
        <f>E483*(1+INDEX(Settings!$E$13:$E$16,MATCH(C484,Settings!$A$13:$A$16,0)))+D484</f>
        <v/>
      </c>
      <c r="F484" s="62">
        <f>F483*(1+INDEX(Settings!$I$13:$I$16,MATCH(C484,Settings!$A$13:$A$16,0)))+D484</f>
        <v/>
      </c>
      <c r="G484" s="62">
        <f>G483*(1+INDEX(Settings!$J$13:$J$16,MATCH(C484,Settings!$A$13:$A$16,0)))+D484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3" t="inlineStr">
        <is>
          <t>Advanced Settings</t>
        </is>
      </c>
    </row>
    <row r="2">
      <c r="A2" s="9" t="inlineStr">
        <is>
          <t>Regime mix, frictions, contribution schedule, and the per-tier return engine. Yellow = edit.</t>
        </is>
      </c>
    </row>
    <row r="4">
      <c r="A4" s="3" t="inlineStr">
        <is>
          <t>Expected regime mix (share of time)</t>
        </is>
      </c>
      <c r="B4" s="4" t="inlineStr"/>
      <c r="C4" s="4" t="inlineStr"/>
      <c r="D4" s="4" t="inlineStr"/>
      <c r="E4" s="4" t="inlineStr"/>
      <c r="F4" s="4" t="inlineStr"/>
    </row>
    <row r="5">
      <c r="B5" s="47" t="inlineStr">
        <is>
          <t>Growth</t>
        </is>
      </c>
      <c r="C5" s="47" t="inlineStr">
        <is>
          <t>Reflation</t>
        </is>
      </c>
      <c r="D5" s="47" t="inlineStr">
        <is>
          <t>Stagflation</t>
        </is>
      </c>
      <c r="E5" s="47" t="inlineStr">
        <is>
          <t>Deflation</t>
        </is>
      </c>
    </row>
    <row r="6">
      <c r="A6" s="5" t="inlineStr">
        <is>
          <t>Weight</t>
        </is>
      </c>
      <c r="B6" s="8" t="n">
        <v>0.32</v>
      </c>
      <c r="C6" s="8" t="n">
        <v>0.47</v>
      </c>
      <c r="D6" s="8" t="n">
        <v>0.08</v>
      </c>
      <c r="E6" s="8" t="n">
        <v>0.13</v>
      </c>
      <c r="F6" s="23">
        <f>SUM(B6:E6)</f>
        <v/>
      </c>
      <c r="G6" s="48">
        <f>IF(ABS(F6-1)&gt;0.005,"← must sum to 100%","")</f>
        <v/>
      </c>
    </row>
    <row r="8">
      <c r="A8" s="5" t="inlineStr">
        <is>
          <t>Regime-switch cost drag (bps / yr)</t>
        </is>
      </c>
      <c r="B8" s="6" t="n">
        <v>60</v>
      </c>
    </row>
    <row r="9">
      <c r="A9" s="22" t="inlineStr">
        <is>
          <t>Horizon (years, from Dashboard ages)</t>
        </is>
      </c>
      <c r="B9" s="49">
        <f>Dashboard!$C$6-Dashboard!$C$5</f>
        <v/>
      </c>
    </row>
    <row r="10">
      <c r="A10" s="5" t="inlineStr">
        <is>
          <t>Backtest return haircut (%)</t>
        </is>
      </c>
      <c r="B10" s="24">
        <f>Dashboard!$C$10</f>
        <v/>
      </c>
    </row>
    <row r="11">
      <c r="A11" s="3" t="inlineStr">
        <is>
          <t>Per-tier return engine (derived — do not edit)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37" t="inlineStr">
        <is>
          <t>Tier</t>
        </is>
      </c>
      <c r="B12" s="37" t="inlineStr">
        <is>
          <t>Mean monthly</t>
        </is>
      </c>
      <c r="C12" s="37" t="inlineStr">
        <is>
          <t>Annual (pre-tax)</t>
        </is>
      </c>
      <c r="D12" s="37" t="inlineStr">
        <is>
          <t>After-tax annual</t>
        </is>
      </c>
      <c r="E12" s="37" t="inlineStr">
        <is>
          <t>Net monthly</t>
        </is>
      </c>
      <c r="F12" s="37" t="inlineStr">
        <is>
          <t>Monthly sd</t>
        </is>
      </c>
      <c r="G12" s="37" t="inlineStr">
        <is>
          <t>Annual sd</t>
        </is>
      </c>
      <c r="H12" s="37" t="inlineStr">
        <is>
          <t>S.E. (avg)</t>
        </is>
      </c>
      <c r="I12" s="37" t="inlineStr">
        <is>
          <t>Low monthly</t>
        </is>
      </c>
      <c r="J12" s="37" t="inlineStr">
        <is>
          <t>High monthly</t>
        </is>
      </c>
    </row>
    <row r="13">
      <c r="A13" s="50" t="inlineStr">
        <is>
          <t>CONS</t>
        </is>
      </c>
      <c r="B13" s="63">
        <f>(SUMPRODUCT($B$6:$E$6,Data!$B$6:$E$6)-$B$8/10000/12)*(1-$B$10)</f>
        <v/>
      </c>
      <c r="C13" s="51">
        <f>(1+B13)^12-1</f>
        <v/>
      </c>
      <c r="D13" s="51">
        <f>IF(C13&gt;0,C13*(1-Dashboard!$C$11),C13)</f>
        <v/>
      </c>
      <c r="E13" s="63">
        <f>(1+D13)^(1/12)-1</f>
        <v/>
      </c>
      <c r="F13" s="63">
        <f>SUMPRODUCT($B$6:$E$6,Data!$B$13:$E$13)</f>
        <v/>
      </c>
      <c r="G13" s="51">
        <f>F13*SQRT(12)</f>
        <v/>
      </c>
      <c r="H13" s="51">
        <f>G13/SQRT(MAX(1,$B$9))</f>
        <v/>
      </c>
      <c r="I13" s="63">
        <f>(1+D13-H13)^(1/12)-1</f>
        <v/>
      </c>
      <c r="J13" s="63">
        <f>(1+D13+H13)^(1/12)-1</f>
        <v/>
      </c>
    </row>
    <row r="14">
      <c r="A14" s="50" t="inlineStr">
        <is>
          <t>MOD</t>
        </is>
      </c>
      <c r="B14" s="63">
        <f>(SUMPRODUCT($B$6:$E$6,Data!$B$7:$E$7)-$B$8/10000/12)*(1-$B$10)</f>
        <v/>
      </c>
      <c r="C14" s="51">
        <f>(1+B14)^12-1</f>
        <v/>
      </c>
      <c r="D14" s="51">
        <f>IF(C14&gt;0,C14*(1-Dashboard!$C$11),C14)</f>
        <v/>
      </c>
      <c r="E14" s="63">
        <f>(1+D14)^(1/12)-1</f>
        <v/>
      </c>
      <c r="F14" s="63">
        <f>SUMPRODUCT($B$6:$E$6,Data!$B$14:$E$14)</f>
        <v/>
      </c>
      <c r="G14" s="51">
        <f>F14*SQRT(12)</f>
        <v/>
      </c>
      <c r="H14" s="51">
        <f>G14/SQRT(MAX(1,$B$9))</f>
        <v/>
      </c>
      <c r="I14" s="63">
        <f>(1+D14-H14)^(1/12)-1</f>
        <v/>
      </c>
      <c r="J14" s="63">
        <f>(1+D14+H14)^(1/12)-1</f>
        <v/>
      </c>
    </row>
    <row r="15">
      <c r="A15" s="50" t="inlineStr">
        <is>
          <t>AGG</t>
        </is>
      </c>
      <c r="B15" s="63">
        <f>(SUMPRODUCT($B$6:$E$6,Data!$B$8:$E$8)-$B$8/10000/12)*(1-$B$10)</f>
        <v/>
      </c>
      <c r="C15" s="51">
        <f>(1+B15)^12-1</f>
        <v/>
      </c>
      <c r="D15" s="51">
        <f>IF(C15&gt;0,C15*(1-Dashboard!$C$11),C15)</f>
        <v/>
      </c>
      <c r="E15" s="63">
        <f>(1+D15)^(1/12)-1</f>
        <v/>
      </c>
      <c r="F15" s="63">
        <f>SUMPRODUCT($B$6:$E$6,Data!$B$15:$E$15)</f>
        <v/>
      </c>
      <c r="G15" s="51">
        <f>F15*SQRT(12)</f>
        <v/>
      </c>
      <c r="H15" s="51">
        <f>G15/SQRT(MAX(1,$B$9))</f>
        <v/>
      </c>
      <c r="I15" s="63">
        <f>(1+D15-H15)^(1/12)-1</f>
        <v/>
      </c>
      <c r="J15" s="63">
        <f>(1+D15+H15)^(1/12)-1</f>
        <v/>
      </c>
    </row>
    <row r="16">
      <c r="A16" s="50" t="inlineStr">
        <is>
          <t>VAGG</t>
        </is>
      </c>
      <c r="B16" s="63">
        <f>(SUMPRODUCT($B$6:$E$6,Data!$B$9:$E$9)-$B$8/10000/12)*(1-$B$10)</f>
        <v/>
      </c>
      <c r="C16" s="51">
        <f>(1+B16)^12-1</f>
        <v/>
      </c>
      <c r="D16" s="51">
        <f>IF(C16&gt;0,C16*(1-Dashboard!$C$11),C16)</f>
        <v/>
      </c>
      <c r="E16" s="63">
        <f>(1+D16)^(1/12)-1</f>
        <v/>
      </c>
      <c r="F16" s="63">
        <f>SUMPRODUCT($B$6:$E$6,Data!$B$16:$E$16)</f>
        <v/>
      </c>
      <c r="G16" s="51">
        <f>F16*SQRT(12)</f>
        <v/>
      </c>
      <c r="H16" s="51">
        <f>G16/SQRT(MAX(1,$B$9))</f>
        <v/>
      </c>
      <c r="I16" s="63">
        <f>(1+D16-H16)^(1/12)-1</f>
        <v/>
      </c>
      <c r="J16" s="63">
        <f>(1+D16+H16)^(1/12)-1</f>
        <v/>
      </c>
    </row>
    <row r="18">
      <c r="A18" s="3" t="inlineStr">
        <is>
          <t>Contribution schedule — driven by the RAMP STAGES table (edit the yellow rates)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22" t="inlineStr">
        <is>
          <t>Year 1</t>
        </is>
      </c>
      <c r="B19" s="68">
        <f>Dashboard!$C$8</f>
        <v/>
      </c>
      <c r="D19" s="16" t="inlineStr">
        <is>
          <t>Ramp stage</t>
        </is>
      </c>
      <c r="E19" s="16" t="inlineStr">
        <is>
          <t>From yr</t>
        </is>
      </c>
      <c r="F19" s="16" t="inlineStr">
        <is>
          <t>Growth %/yr</t>
        </is>
      </c>
    </row>
    <row r="20">
      <c r="A20" s="22" t="inlineStr">
        <is>
          <t>Year 2</t>
        </is>
      </c>
      <c r="B20" s="68">
        <f>ROUND(B19*(1+INDEX($F$20:$F$32,MATCH(2,$E$20:$E$32,1)))/25,0)*25</f>
        <v/>
      </c>
      <c r="D20" s="22" t="inlineStr">
        <is>
          <t>Ages 26-28</t>
        </is>
      </c>
      <c r="E20" s="27" t="n">
        <v>2</v>
      </c>
      <c r="F20" s="8" t="n">
        <v>0.35</v>
      </c>
    </row>
    <row r="21">
      <c r="A21" s="22" t="inlineStr">
        <is>
          <t>Year 3</t>
        </is>
      </c>
      <c r="B21" s="68">
        <f>ROUND(B20*(1+INDEX($F$20:$F$32,MATCH(3,$E$20:$E$32,1)))/25,0)*25</f>
        <v/>
      </c>
      <c r="D21" s="22" t="inlineStr">
        <is>
          <t>Ages 29-31</t>
        </is>
      </c>
      <c r="E21" s="27" t="n">
        <v>5</v>
      </c>
      <c r="F21" s="8" t="n">
        <v>0.15</v>
      </c>
    </row>
    <row r="22">
      <c r="A22" s="22" t="inlineStr">
        <is>
          <t>Year 4</t>
        </is>
      </c>
      <c r="B22" s="68">
        <f>ROUND(B21*(1+INDEX($F$20:$F$32,MATCH(4,$E$20:$E$32,1)))/25,0)*25</f>
        <v/>
      </c>
      <c r="D22" s="22" t="inlineStr">
        <is>
          <t>Ages 32-34</t>
        </is>
      </c>
      <c r="E22" s="27" t="n">
        <v>8</v>
      </c>
      <c r="F22" s="8" t="n">
        <v>0.1</v>
      </c>
    </row>
    <row r="23">
      <c r="A23" s="22" t="inlineStr">
        <is>
          <t>Year 5</t>
        </is>
      </c>
      <c r="B23" s="68">
        <f>ROUND(B22*(1+INDEX($F$20:$F$32,MATCH(5,$E$20:$E$32,1)))/25,0)*25</f>
        <v/>
      </c>
      <c r="D23" s="22" t="inlineStr">
        <is>
          <t>Ages 35-37</t>
        </is>
      </c>
      <c r="E23" s="27" t="n">
        <v>11</v>
      </c>
      <c r="F23" s="8" t="n">
        <v>0.08</v>
      </c>
    </row>
    <row r="24">
      <c r="A24" s="22" t="inlineStr">
        <is>
          <t>Year 6</t>
        </is>
      </c>
      <c r="B24" s="68">
        <f>ROUND(B23*(1+INDEX($F$20:$F$32,MATCH(6,$E$20:$E$32,1)))/25,0)*25</f>
        <v/>
      </c>
      <c r="D24" s="22" t="inlineStr">
        <is>
          <t>Ages 38-40</t>
        </is>
      </c>
      <c r="E24" s="27" t="n">
        <v>14</v>
      </c>
      <c r="F24" s="8" t="n">
        <v>0.08</v>
      </c>
    </row>
    <row r="25">
      <c r="A25" s="22" t="inlineStr">
        <is>
          <t>Year 7</t>
        </is>
      </c>
      <c r="B25" s="68">
        <f>ROUND(B24*(1+INDEX($F$20:$F$32,MATCH(7,$E$20:$E$32,1)))/25,0)*25</f>
        <v/>
      </c>
      <c r="D25" s="22" t="inlineStr">
        <is>
          <t>Ages 41-43</t>
        </is>
      </c>
      <c r="E25" s="27" t="n">
        <v>17</v>
      </c>
      <c r="F25" s="8" t="n">
        <v>0.07000000000000001</v>
      </c>
    </row>
    <row r="26">
      <c r="A26" s="22" t="inlineStr">
        <is>
          <t>Year 8</t>
        </is>
      </c>
      <c r="B26" s="68">
        <f>ROUND(B25*(1+INDEX($F$20:$F$32,MATCH(8,$E$20:$E$32,1)))/25,0)*25</f>
        <v/>
      </c>
      <c r="D26" s="22" t="inlineStr">
        <is>
          <t>Ages 44-46</t>
        </is>
      </c>
      <c r="E26" s="27" t="n">
        <v>20</v>
      </c>
      <c r="F26" s="8" t="n">
        <v>0.07000000000000001</v>
      </c>
    </row>
    <row r="27">
      <c r="A27" s="22" t="inlineStr">
        <is>
          <t>Year 9</t>
        </is>
      </c>
      <c r="B27" s="68">
        <f>ROUND(B26*(1+INDEX($F$20:$F$32,MATCH(9,$E$20:$E$32,1)))/25,0)*25</f>
        <v/>
      </c>
      <c r="D27" s="22" t="inlineStr">
        <is>
          <t>Ages 47-49</t>
        </is>
      </c>
      <c r="E27" s="27" t="n">
        <v>23</v>
      </c>
      <c r="F27" s="8" t="n">
        <v>0.07000000000000001</v>
      </c>
    </row>
    <row r="28">
      <c r="A28" s="22" t="inlineStr">
        <is>
          <t>Year 10</t>
        </is>
      </c>
      <c r="B28" s="68">
        <f>ROUND(B27*(1+INDEX($F$20:$F$32,MATCH(10,$E$20:$E$32,1)))/25,0)*25</f>
        <v/>
      </c>
      <c r="D28" s="22" t="inlineStr">
        <is>
          <t>Ages 50-52</t>
        </is>
      </c>
      <c r="E28" s="27" t="n">
        <v>26</v>
      </c>
      <c r="F28" s="8" t="n">
        <v>0.06</v>
      </c>
    </row>
    <row r="29">
      <c r="A29" s="22" t="inlineStr">
        <is>
          <t>Year 11</t>
        </is>
      </c>
      <c r="B29" s="68">
        <f>ROUND(B28*(1+INDEX($F$20:$F$32,MATCH(11,$E$20:$E$32,1)))/25,0)*25</f>
        <v/>
      </c>
      <c r="D29" s="22" t="inlineStr">
        <is>
          <t>Ages 53-55</t>
        </is>
      </c>
      <c r="E29" s="27" t="n">
        <v>29</v>
      </c>
      <c r="F29" s="8" t="n">
        <v>0.06</v>
      </c>
    </row>
    <row r="30">
      <c r="A30" s="22" t="inlineStr">
        <is>
          <t>Year 12</t>
        </is>
      </c>
      <c r="B30" s="68">
        <f>ROUND(B29*(1+INDEX($F$20:$F$32,MATCH(12,$E$20:$E$32,1)))/25,0)*25</f>
        <v/>
      </c>
      <c r="D30" s="22" t="inlineStr">
        <is>
          <t>Ages 56-58</t>
        </is>
      </c>
      <c r="E30" s="27" t="n">
        <v>32</v>
      </c>
      <c r="F30" s="8" t="n">
        <v>0.05</v>
      </c>
    </row>
    <row r="31">
      <c r="A31" s="22" t="inlineStr">
        <is>
          <t>Year 13</t>
        </is>
      </c>
      <c r="B31" s="68">
        <f>ROUND(B30*(1+INDEX($F$20:$F$32,MATCH(13,$E$20:$E$32,1)))/25,0)*25</f>
        <v/>
      </c>
      <c r="D31" s="22" t="inlineStr">
        <is>
          <t>Ages 59-61</t>
        </is>
      </c>
      <c r="E31" s="27" t="n">
        <v>35</v>
      </c>
      <c r="F31" s="8" t="n">
        <v>0.05</v>
      </c>
    </row>
    <row r="32">
      <c r="A32" s="22" t="inlineStr">
        <is>
          <t>Year 14</t>
        </is>
      </c>
      <c r="B32" s="68">
        <f>ROUND(B31*(1+INDEX($F$20:$F$32,MATCH(14,$E$20:$E$32,1)))/25,0)*25</f>
        <v/>
      </c>
      <c r="D32" s="22" t="inlineStr">
        <is>
          <t>Ages 62-64</t>
        </is>
      </c>
      <c r="E32" s="27" t="n">
        <v>38</v>
      </c>
      <c r="F32" s="8" t="n">
        <v>0.05</v>
      </c>
    </row>
    <row r="33">
      <c r="A33" s="22" t="inlineStr">
        <is>
          <t>Year 15</t>
        </is>
      </c>
      <c r="B33" s="68">
        <f>ROUND(B32*(1+INDEX($F$20:$F$32,MATCH(15,$E$20:$E$32,1)))/25,0)*25</f>
        <v/>
      </c>
    </row>
    <row r="34">
      <c r="A34" s="22" t="inlineStr">
        <is>
          <t>Year 16</t>
        </is>
      </c>
      <c r="B34" s="68">
        <f>ROUND(B33*(1+INDEX($F$20:$F$32,MATCH(16,$E$20:$E$32,1)))/25,0)*25</f>
        <v/>
      </c>
    </row>
    <row r="35">
      <c r="A35" s="22" t="inlineStr">
        <is>
          <t>Year 17</t>
        </is>
      </c>
      <c r="B35" s="68">
        <f>ROUND(B34*(1+INDEX($F$20:$F$32,MATCH(17,$E$20:$E$32,1)))/25,0)*25</f>
        <v/>
      </c>
    </row>
    <row r="36">
      <c r="A36" s="22" t="inlineStr">
        <is>
          <t>Year 18</t>
        </is>
      </c>
      <c r="B36" s="68">
        <f>ROUND(B35*(1+INDEX($F$20:$F$32,MATCH(18,$E$20:$E$32,1)))/25,0)*25</f>
        <v/>
      </c>
    </row>
    <row r="37">
      <c r="A37" s="22" t="inlineStr">
        <is>
          <t>Year 19</t>
        </is>
      </c>
      <c r="B37" s="68">
        <f>ROUND(B36*(1+INDEX($F$20:$F$32,MATCH(19,$E$20:$E$32,1)))/25,0)*25</f>
        <v/>
      </c>
    </row>
    <row r="38">
      <c r="A38" s="22" t="inlineStr">
        <is>
          <t>Year 20</t>
        </is>
      </c>
      <c r="B38" s="68">
        <f>ROUND(B37*(1+INDEX($F$20:$F$32,MATCH(20,$E$20:$E$32,1)))/25,0)*25</f>
        <v/>
      </c>
    </row>
    <row r="39">
      <c r="A39" s="22" t="inlineStr">
        <is>
          <t>Year 21</t>
        </is>
      </c>
      <c r="B39" s="68">
        <f>ROUND(B38*(1+INDEX($F$20:$F$32,MATCH(21,$E$20:$E$32,1)))/25,0)*25</f>
        <v/>
      </c>
    </row>
    <row r="40">
      <c r="A40" s="22" t="inlineStr">
        <is>
          <t>Year 22</t>
        </is>
      </c>
      <c r="B40" s="68">
        <f>ROUND(B39*(1+INDEX($F$20:$F$32,MATCH(22,$E$20:$E$32,1)))/25,0)*25</f>
        <v/>
      </c>
    </row>
    <row r="41">
      <c r="A41" s="22" t="inlineStr">
        <is>
          <t>Year 23</t>
        </is>
      </c>
      <c r="B41" s="68">
        <f>ROUND(B40*(1+INDEX($F$20:$F$32,MATCH(23,$E$20:$E$32,1)))/25,0)*25</f>
        <v/>
      </c>
    </row>
    <row r="42">
      <c r="A42" s="22" t="inlineStr">
        <is>
          <t>Year 24</t>
        </is>
      </c>
      <c r="B42" s="68">
        <f>ROUND(B41*(1+INDEX($F$20:$F$32,MATCH(24,$E$20:$E$32,1)))/25,0)*25</f>
        <v/>
      </c>
    </row>
    <row r="43">
      <c r="A43" s="22" t="inlineStr">
        <is>
          <t>Year 25</t>
        </is>
      </c>
      <c r="B43" s="68">
        <f>ROUND(B42*(1+INDEX($F$20:$F$32,MATCH(25,$E$20:$E$32,1)))/25,0)*25</f>
        <v/>
      </c>
    </row>
    <row r="44">
      <c r="A44" s="22" t="inlineStr">
        <is>
          <t>Year 26</t>
        </is>
      </c>
      <c r="B44" s="68">
        <f>ROUND(B43*(1+INDEX($F$20:$F$32,MATCH(26,$E$20:$E$32,1)))/25,0)*25</f>
        <v/>
      </c>
    </row>
    <row r="45">
      <c r="A45" s="22" t="inlineStr">
        <is>
          <t>Year 27</t>
        </is>
      </c>
      <c r="B45" s="68">
        <f>ROUND(B44*(1+INDEX($F$20:$F$32,MATCH(27,$E$20:$E$32,1)))/25,0)*25</f>
        <v/>
      </c>
    </row>
    <row r="46">
      <c r="A46" s="22" t="inlineStr">
        <is>
          <t>Year 28</t>
        </is>
      </c>
      <c r="B46" s="68">
        <f>ROUND(B45*(1+INDEX($F$20:$F$32,MATCH(28,$E$20:$E$32,1)))/25,0)*25</f>
        <v/>
      </c>
    </row>
    <row r="47">
      <c r="A47" s="22" t="inlineStr">
        <is>
          <t>Year 29</t>
        </is>
      </c>
      <c r="B47" s="68">
        <f>ROUND(B46*(1+INDEX($F$20:$F$32,MATCH(29,$E$20:$E$32,1)))/25,0)*25</f>
        <v/>
      </c>
    </row>
    <row r="48">
      <c r="A48" s="22" t="inlineStr">
        <is>
          <t>Year 30</t>
        </is>
      </c>
      <c r="B48" s="68">
        <f>ROUND(B47*(1+INDEX($F$20:$F$32,MATCH(30,$E$20:$E$32,1)))/25,0)*25</f>
        <v/>
      </c>
    </row>
    <row r="49">
      <c r="A49" s="22" t="inlineStr">
        <is>
          <t>Year 31</t>
        </is>
      </c>
      <c r="B49" s="68">
        <f>ROUND(B48*(1+INDEX($F$20:$F$32,MATCH(31,$E$20:$E$32,1)))/25,0)*25</f>
        <v/>
      </c>
    </row>
    <row r="50">
      <c r="A50" s="22" t="inlineStr">
        <is>
          <t>Year 32</t>
        </is>
      </c>
      <c r="B50" s="68">
        <f>ROUND(B49*(1+INDEX($F$20:$F$32,MATCH(32,$E$20:$E$32,1)))/25,0)*25</f>
        <v/>
      </c>
    </row>
    <row r="51">
      <c r="A51" s="22" t="inlineStr">
        <is>
          <t>Year 33</t>
        </is>
      </c>
      <c r="B51" s="68">
        <f>ROUND(B50*(1+INDEX($F$20:$F$32,MATCH(33,$E$20:$E$32,1)))/25,0)*25</f>
        <v/>
      </c>
    </row>
    <row r="52">
      <c r="A52" s="22" t="inlineStr">
        <is>
          <t>Year 34</t>
        </is>
      </c>
      <c r="B52" s="68">
        <f>ROUND(B51*(1+INDEX($F$20:$F$32,MATCH(34,$E$20:$E$32,1)))/25,0)*25</f>
        <v/>
      </c>
    </row>
    <row r="53">
      <c r="A53" s="22" t="inlineStr">
        <is>
          <t>Year 35</t>
        </is>
      </c>
      <c r="B53" s="68">
        <f>ROUND(B52*(1+INDEX($F$20:$F$32,MATCH(35,$E$20:$E$32,1)))/25,0)*25</f>
        <v/>
      </c>
    </row>
    <row r="54">
      <c r="A54" s="22" t="inlineStr">
        <is>
          <t>Year 36</t>
        </is>
      </c>
      <c r="B54" s="68">
        <f>ROUND(B53*(1+INDEX($F$20:$F$32,MATCH(36,$E$20:$E$32,1)))/25,0)*25</f>
        <v/>
      </c>
    </row>
    <row r="55">
      <c r="A55" s="22" t="inlineStr">
        <is>
          <t>Year 37</t>
        </is>
      </c>
      <c r="B55" s="68">
        <f>ROUND(B54*(1+INDEX($F$20:$F$32,MATCH(37,$E$20:$E$32,1)))/25,0)*25</f>
        <v/>
      </c>
    </row>
    <row r="56">
      <c r="A56" s="22" t="inlineStr">
        <is>
          <t>Year 38</t>
        </is>
      </c>
      <c r="B56" s="68">
        <f>ROUND(B55*(1+INDEX($F$20:$F$32,MATCH(38,$E$20:$E$32,1)))/25,0)*25</f>
        <v/>
      </c>
    </row>
    <row r="57">
      <c r="A57" s="22" t="inlineStr">
        <is>
          <t>Year 39</t>
        </is>
      </c>
      <c r="B57" s="68">
        <f>ROUND(B56*(1+INDEX($F$20:$F$32,MATCH(39,$E$20:$E$32,1)))/25,0)*25</f>
        <v/>
      </c>
    </row>
    <row r="58">
      <c r="A58" s="22" t="inlineStr">
        <is>
          <t>Year 40</t>
        </is>
      </c>
      <c r="B58" s="68">
        <f>ROUND(B57*(1+INDEX($F$20:$F$32,MATCH(40,$E$20:$E$32,1)))/25,0)*25</f>
        <v/>
      </c>
    </row>
    <row r="59">
      <c r="A59" s="9" t="inlineStr">
        <is>
          <t>Yr 1 links to the Dashboard; every later year = prior year x (1 + its stage rate). Change the 13 yellow stage rates to reshape the whole ramp. Defaults honor the user's anchors: 35%/yr ages 26-28 (no kids), then tapering 15%-&gt;5%; crosses $5k/mo ~age 31, $7k ~34; cap ($40k, Dashboard) leaves the entire 50s uncapped and binds only ~age 62+.</t>
        </is>
      </c>
    </row>
    <row r="60">
      <c r="A60" s="22" t="inlineStr">
        <is>
          <t>Implied contribution growth, monthly (yr1 → horizon)</t>
        </is>
      </c>
      <c r="B60" s="69">
        <f>(INDEX($B$19:$B$58,MIN(40,MAX(1,$B$9)))/Dashboard!$C$8)^(1/MAX(1,(MIN(40,$B$9)-1)*12))-1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54" t="inlineStr">
        <is>
          <t>Model Data — per-regime return statistics (matrix v9, monthly-only execution, Jan 2007–Sep 2026)</t>
        </is>
      </c>
    </row>
    <row r="2">
      <c r="A2" s="9" t="inlineStr">
        <is>
          <t>Blue = editable assumption. Rotation sleeve only; options overlay excluded.</t>
        </is>
      </c>
    </row>
    <row r="4">
      <c r="A4" s="3" t="inlineStr">
        <is>
          <t>Mean monthly return</t>
        </is>
      </c>
      <c r="B4" s="4" t="inlineStr"/>
      <c r="C4" s="4" t="inlineStr"/>
      <c r="D4" s="4" t="inlineStr"/>
      <c r="E4" s="4" t="inlineStr"/>
    </row>
    <row r="5">
      <c r="B5" s="47" t="inlineStr">
        <is>
          <t>Growth</t>
        </is>
      </c>
      <c r="C5" s="47" t="inlineStr">
        <is>
          <t>Reflation</t>
        </is>
      </c>
      <c r="D5" s="47" t="inlineStr">
        <is>
          <t>Stagflation</t>
        </is>
      </c>
      <c r="E5" s="47" t="inlineStr">
        <is>
          <t>Deflation</t>
        </is>
      </c>
    </row>
    <row r="6">
      <c r="A6" s="50" t="inlineStr">
        <is>
          <t>CONS</t>
        </is>
      </c>
      <c r="B6" s="70" t="n">
        <v>0.00729</v>
      </c>
      <c r="C6" s="70" t="n">
        <v>0.008279999999999999</v>
      </c>
      <c r="D6" s="70" t="n">
        <v>0.00398</v>
      </c>
      <c r="E6" s="70" t="n">
        <v>0.01164</v>
      </c>
    </row>
    <row r="7">
      <c r="A7" s="50" t="inlineStr">
        <is>
          <t>MOD</t>
        </is>
      </c>
      <c r="B7" s="70" t="n">
        <v>0.01371</v>
      </c>
      <c r="C7" s="70" t="n">
        <v>0.01118</v>
      </c>
      <c r="D7" s="70" t="n">
        <v>0.00648</v>
      </c>
      <c r="E7" s="70" t="n">
        <v>0.01795</v>
      </c>
    </row>
    <row r="8">
      <c r="A8" s="50" t="inlineStr">
        <is>
          <t>AGG</t>
        </is>
      </c>
      <c r="B8" s="70" t="n">
        <v>0.03308</v>
      </c>
      <c r="C8" s="70" t="n">
        <v>0.01427</v>
      </c>
      <c r="D8" s="70" t="n">
        <v>0.00804</v>
      </c>
      <c r="E8" s="70" t="n">
        <v>0.03473</v>
      </c>
    </row>
    <row r="9">
      <c r="A9" s="50" t="inlineStr">
        <is>
          <t>VAGG</t>
        </is>
      </c>
      <c r="B9" s="70" t="n">
        <v>0.04851</v>
      </c>
      <c r="C9" s="70" t="n">
        <v>0.01752</v>
      </c>
      <c r="D9" s="70" t="n">
        <v>0.00869</v>
      </c>
      <c r="E9" s="70" t="n">
        <v>0.04287</v>
      </c>
    </row>
    <row r="11">
      <c r="A11" s="3" t="inlineStr">
        <is>
          <t>Monthly standard deviation</t>
        </is>
      </c>
      <c r="B11" s="4" t="inlineStr"/>
      <c r="C11" s="4" t="inlineStr"/>
      <c r="D11" s="4" t="inlineStr"/>
      <c r="E11" s="4" t="inlineStr"/>
    </row>
    <row r="12">
      <c r="B12" s="47" t="inlineStr">
        <is>
          <t>Growth</t>
        </is>
      </c>
      <c r="C12" s="47" t="inlineStr">
        <is>
          <t>Reflation</t>
        </is>
      </c>
      <c r="D12" s="47" t="inlineStr">
        <is>
          <t>Stagflation</t>
        </is>
      </c>
      <c r="E12" s="47" t="inlineStr">
        <is>
          <t>Deflation</t>
        </is>
      </c>
    </row>
    <row r="13">
      <c r="A13" s="50" t="inlineStr">
        <is>
          <t>CONS</t>
        </is>
      </c>
      <c r="B13" s="70" t="n">
        <v>0.01753</v>
      </c>
      <c r="C13" s="70" t="n">
        <v>0.02252</v>
      </c>
      <c r="D13" s="70" t="n">
        <v>0.01519</v>
      </c>
      <c r="E13" s="70" t="n">
        <v>0.0323</v>
      </c>
    </row>
    <row r="14">
      <c r="A14" s="50" t="inlineStr">
        <is>
          <t>MOD</t>
        </is>
      </c>
      <c r="B14" s="70" t="n">
        <v>0.03052</v>
      </c>
      <c r="C14" s="70" t="n">
        <v>0.03221</v>
      </c>
      <c r="D14" s="70" t="n">
        <v>0.02411</v>
      </c>
      <c r="E14" s="70" t="n">
        <v>0.035</v>
      </c>
    </row>
    <row r="15">
      <c r="A15" s="50" t="inlineStr">
        <is>
          <t>AGG</t>
        </is>
      </c>
      <c r="B15" s="70" t="n">
        <v>0.09041</v>
      </c>
      <c r="C15" s="70" t="n">
        <v>0.04384</v>
      </c>
      <c r="D15" s="70" t="n">
        <v>0.03079</v>
      </c>
      <c r="E15" s="70" t="n">
        <v>0.07679</v>
      </c>
    </row>
    <row r="16">
      <c r="A16" s="50" t="inlineStr">
        <is>
          <t>VAGG</t>
        </is>
      </c>
      <c r="B16" s="70" t="n">
        <v>0.13714</v>
      </c>
      <c r="C16" s="70" t="n">
        <v>0.06011</v>
      </c>
      <c r="D16" s="70" t="n">
        <v>0.03353</v>
      </c>
      <c r="E16" s="70" t="n">
        <v>0.09958</v>
      </c>
    </row>
    <row r="18">
      <c r="A18" s="3" t="inlineStr">
        <is>
          <t>Regime structure &amp; risk-free</t>
        </is>
      </c>
      <c r="B18" s="4" t="inlineStr"/>
      <c r="C18" s="4" t="inlineStr"/>
      <c r="D18" s="4" t="inlineStr"/>
      <c r="E18" s="4" t="inlineStr"/>
    </row>
    <row r="19">
      <c r="B19" s="47" t="inlineStr">
        <is>
          <t>Growth</t>
        </is>
      </c>
      <c r="C19" s="47" t="inlineStr">
        <is>
          <t>Reflation</t>
        </is>
      </c>
      <c r="D19" s="47" t="inlineStr">
        <is>
          <t>Stagflation</t>
        </is>
      </c>
      <c r="E19" s="47" t="inlineStr">
        <is>
          <t>Deflation</t>
        </is>
      </c>
    </row>
    <row r="20">
      <c r="A20" s="22" t="inlineStr">
        <is>
          <t>Share of months</t>
        </is>
      </c>
      <c r="B20" s="56" t="n">
        <v>0.321</v>
      </c>
      <c r="C20" s="56" t="n">
        <v>0.473</v>
      </c>
      <c r="D20" s="56" t="n">
        <v>0.08</v>
      </c>
      <c r="E20" s="56" t="n">
        <v>0.127</v>
      </c>
    </row>
    <row r="21">
      <c r="A21" s="22" t="inlineStr">
        <is>
          <t>Avg duration (months)</t>
        </is>
      </c>
      <c r="B21" s="57" t="n">
        <v>3.2</v>
      </c>
      <c r="C21" s="57" t="n">
        <v>5.3</v>
      </c>
      <c r="D21" s="57" t="n">
        <v>2.7</v>
      </c>
      <c r="E21" s="57" t="n">
        <v>2.3</v>
      </c>
    </row>
    <row r="23">
      <c r="A23" s="22" t="inlineStr">
        <is>
          <t>Risk-free rate (annual)</t>
        </is>
      </c>
      <c r="B23" s="56" t="n">
        <v>0.019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3" t="inlineStr">
        <is>
          <t>Methodology &amp; Assumptions</t>
        </is>
      </c>
    </row>
    <row r="3">
      <c r="A3" s="40" t="inlineStr">
        <is>
          <t>Glide path</t>
        </is>
      </c>
    </row>
    <row r="4" ht="42" customHeight="1">
      <c r="A4" s="58" t="inlineStr">
        <is>
          <t>The Dashboard assigns a risk tier to each 5-year age block (age 25→65 = 8 decision points). The projection applies each block's tier return, switching automatically at block boundaries. Defaults de-risk with age: VAGG→AGG→MOD→CONS.</t>
        </is>
      </c>
    </row>
    <row r="6">
      <c r="A6" s="40" t="inlineStr">
        <is>
          <t>Framework</t>
        </is>
      </c>
    </row>
    <row r="7" ht="42" customHeight="1">
      <c r="A7" s="58" t="inlineStr">
        <is>
          <t>Four macro regimes (growth x inflation) classified monthly ex-ante (SPY &amp; DBC vs 10-month SMAs, locked). Each tier = fixed allocation per regime (matrix v2). Per-tier expected returns blend per-regime statistics by the Settings regime mix, minus switch-cost drag.</t>
        </is>
      </c>
    </row>
    <row r="9">
      <c r="A9" s="40" t="inlineStr">
        <is>
          <t>Contributions</t>
        </is>
      </c>
    </row>
    <row r="10" ht="42" customHeight="1">
      <c r="A10" s="58" t="inlineStr">
        <is>
          <t>Year-by-year monthly schedule on Settings (defaults: $1,500/mo yr1 per user 2026 update; +20%/yr through yr5, +7%/yr after — anchored to user decade targets: &gt;$5k/mo in 30s, &gt;$7k in 40s, &gt;$10k in 50s), capped on the Dashboard. Projection applies the exact schedule.</t>
        </is>
      </c>
    </row>
    <row r="12">
      <c r="A12" s="40" t="inlineStr">
        <is>
          <t>Uncertainty</t>
        </is>
      </c>
    </row>
    <row r="13" ht="42" customHeight="1">
      <c r="A13" s="58" t="inlineStr">
        <is>
          <t>Low/High paths and Statistics percentiles band the uncertainty of the AVERAGE growth rate (+/- s.e. = annual sd / sqrt(horizon years)). They are not drawdown bounds: backtested max drawdowns are CONS -13%, MOD -15%, AGG -37%, VAGG -51%, and a VAGG-heavy early glide will experience them.</t>
        </is>
      </c>
    </row>
    <row r="15">
      <c r="A15" s="40" t="inlineStr">
        <is>
          <t>Return haircut</t>
        </is>
      </c>
    </row>
    <row r="16" ht="42" customHeight="1">
      <c r="A16" s="58" t="inlineStr">
        <is>
          <t>Long-horizon compounding of raw backtest returns is not credible (edges decay; regimes shift; capacity and execution erode results). The Dashboard haircut (default 25%) scales all tier returns down before projecting. Set 0% to see raw-backtest numbers; treat those as an upper bound, not a plan.</t>
        </is>
      </c>
    </row>
    <row r="18">
      <c r="A18" s="40" t="inlineStr">
        <is>
          <t>Evidence quality</t>
        </is>
      </c>
    </row>
    <row r="19" ht="42" customHeight="1">
      <c r="A19" s="58" t="inlineStr">
        <is>
          <t>Backtest Jun 2007-Aug 2026; leveraged instruments simulated pre-2010; playbooks partly second-generation designs. The append-only monthly paper ledger is the binding forward test. Statistics percentiles additionally approximate contributions as smooth growth (cap ignored).</t>
        </is>
      </c>
    </row>
    <row r="21">
      <c r="A21" s="40" t="inlineStr">
        <is>
          <t>Comparison</t>
        </is>
      </c>
    </row>
    <row r="22" ht="42" customHeight="1">
      <c r="A22" s="58" t="inlineStr">
        <is>
          <t>Benchmark historical stats computed on the identical window/method as the tiers (source: Yahoo adjusted closes). Forward balances apply ONE haircut to every row - benchmarks and strategies alike (the benchmark haircut cell links to the Dashboard input; override only to argue a deliberate difference). Same start, same contribution schedule approximation, same horizon.</t>
        </is>
      </c>
    </row>
    <row r="24">
      <c r="A24" s="40" t="inlineStr">
        <is>
          <t>Colors</t>
        </is>
      </c>
    </row>
    <row r="25" ht="42" customHeight="1">
      <c r="A25" s="58" t="inlineStr">
        <is>
          <t>Yellow = inputs. Blue = editable assumptions. Green = derived/links. Navy bars = sections. Grey columns on the glide table are helpers used by Statistics.</t>
        </is>
      </c>
    </row>
    <row r="27">
      <c r="A27" s="40" t="inlineStr">
        <is>
          <t>Disclaimer</t>
        </is>
      </c>
    </row>
    <row r="28" ht="42" customHeight="1">
      <c r="A28" s="58" t="inlineStr">
        <is>
          <t>Personal research tooling; not investment advice. Past and simulated performance do not guarantee future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2026-09-09T13:52:13Z</dcterms:created>
  <dcterms:modified xsi:type="dcterms:W3CDTF">2026-10-08T14:08:15Z</dcterms:modified>
</cp:coreProperties>
</file>