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  <sheet name="Evidence" sheetId="3" state="visible" r:id="rId3"/>
    <sheet name="Inputs" sheetId="4" state="visible" r:id="rId4"/>
    <sheet name="Projection" sheetId="5" state="visible" r:id="rId5"/>
    <sheet name="RegimeAnalysis" sheetId="6" state="visible" r:id="rId6"/>
    <sheet name="Scenarios" sheetId="7" state="visible" r:id="rId7"/>
    <sheet name="Methodolo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%;(0.00%)"/>
    <numFmt numFmtId="165" formatCode="0.0%;(0.0%)"/>
    <numFmt numFmtId="166" formatCode="$#,##0;($#,##0)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FFFFFF"/>
      <sz val="9"/>
    </font>
    <font>
      <name val="Arial"/>
      <color rgb="00000000"/>
      <sz val="10"/>
    </font>
    <font>
      <name val="Arial"/>
      <i val="1"/>
      <color rgb="00000000"/>
      <sz val="8"/>
    </font>
    <font>
      <name val="Arial"/>
      <b val="1"/>
      <color rgb="00C00000"/>
      <sz val="9"/>
    </font>
    <font>
      <name val="Arial"/>
      <color rgb="00595959"/>
      <sz val="8"/>
    </font>
    <font>
      <name val="Arial"/>
      <color rgb="00008000"/>
      <sz val="10"/>
    </font>
    <font>
      <name val="Arial"/>
      <b val="1"/>
      <color rgb="00000000"/>
      <sz val="11"/>
    </font>
    <font>
      <name val="Arial"/>
      <b val="1"/>
      <color rgb="00FFFFFF"/>
      <sz val="15"/>
    </font>
    <font>
      <name val="Arial"/>
      <b val="1"/>
      <color rgb="002E5395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5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9" fillId="0" borderId="0" pivotButton="0" quotePrefix="0" xfId="0"/>
    <xf numFmtId="0" fontId="13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166" fontId="14" fillId="0" borderId="0" applyAlignment="1" pivotButton="0" quotePrefix="0" xfId="0">
      <alignment horizontal="center"/>
    </xf>
    <xf numFmtId="2" fontId="14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" fillId="2" borderId="0" pivotButton="0" quotePrefix="0" xfId="0"/>
    <xf numFmtId="0" fontId="4" fillId="4" borderId="1" applyAlignment="1" pivotButton="0" quotePrefix="0" xfId="0">
      <alignment horizontal="center"/>
    </xf>
    <xf numFmtId="0" fontId="5" fillId="0" borderId="0" pivotButton="0" quotePrefix="0" xfId="0"/>
    <xf numFmtId="164" fontId="6" fillId="0" borderId="1" pivotButton="0" quotePrefix="0" xfId="0"/>
    <xf numFmtId="0" fontId="4" fillId="4" borderId="0" applyAlignment="1" pivotButton="0" quotePrefix="0" xfId="0">
      <alignment horizontal="center"/>
    </xf>
    <xf numFmtId="0" fontId="7" fillId="0" borderId="0" pivotButton="0" quotePrefix="0" xfId="0"/>
    <xf numFmtId="165" fontId="6" fillId="0" borderId="1" pivotButton="0" quotePrefix="0" xfId="0"/>
    <xf numFmtId="0" fontId="6" fillId="0" borderId="1" pivotButton="0" quotePrefix="0" xfId="0"/>
    <xf numFmtId="0" fontId="8" fillId="2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2" fontId="0" fillId="5" borderId="1" applyAlignment="1" pivotButton="0" quotePrefix="0" xfId="0">
      <alignment horizontal="center"/>
    </xf>
    <xf numFmtId="0" fontId="10" fillId="0" borderId="0" pivotButton="0" quotePrefix="0" xfId="0"/>
    <xf numFmtId="166" fontId="6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1" fillId="0" borderId="0" pivotButton="0" quotePrefix="0" xfId="0"/>
    <xf numFmtId="0" fontId="12" fillId="0" borderId="0" pivotButton="0" quotePrefix="0" xfId="0"/>
    <xf numFmtId="164" fontId="13" fillId="0" borderId="0" applyAlignment="1" pivotButton="0" quotePrefix="0" xfId="0">
      <alignment horizontal="center"/>
    </xf>
    <xf numFmtId="165" fontId="13" fillId="0" borderId="0" applyAlignment="1" pivotButton="0" quotePrefix="0" xfId="0">
      <alignment horizontal="center"/>
    </xf>
    <xf numFmtId="166" fontId="14" fillId="0" borderId="0" pivotButton="0" quotePrefix="0" xfId="0"/>
    <xf numFmtId="2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7" fillId="3" borderId="0" pivotButton="0" quotePrefix="0" xfId="0"/>
    <xf numFmtId="2" fontId="7" fillId="3" borderId="0" pivotButton="0" quotePrefix="0" xfId="0"/>
    <xf numFmtId="0" fontId="8" fillId="2" borderId="0" applyAlignment="1" pivotButton="0" quotePrefix="0" xfId="0">
      <alignment horizontal="center"/>
    </xf>
    <xf numFmtId="2" fontId="8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2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0" fontId="5" fillId="5" borderId="0" pivotButton="0" quotePrefix="0" xfId="0"/>
    <xf numFmtId="165" fontId="6" fillId="0" borderId="1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Projected account value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'Projection'!C10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'Projection'!$C$11:$C$370</f>
            </numRef>
          </val>
          <smooth val="0"/>
        </ser>
        <ser>
          <idx val="1"/>
          <order val="1"/>
          <tx>
            <strRef>
              <f>'Projection'!D10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'Projection'!$D$11:$D$370</f>
            </numRef>
          </val>
          <smooth val="0"/>
        </ser>
        <ser>
          <idx val="2"/>
          <order val="2"/>
          <tx>
            <strRef>
              <f>'Projection'!E10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'Projection'!$A$11:$A$370</f>
            </numRef>
          </cat>
          <val>
            <numRef>
              <f>'Projection'!$E$11:$E$370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Annualized return by regime (selected tier)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'RegimeAnalysis'!E4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'RegimeAnalysis'!$A$5:$A$8</f>
            </numRef>
          </cat>
          <val>
            <numRef>
              <f>'RegimeAnalysis'!$E$5:$E$8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return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Terminal wealth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solidFill>
              <a:srgbClr val="BF8F00"/>
            </a:solidFill>
            <a:ln>
              <a:prstDash val="solid"/>
            </a:ln>
          </spPr>
          <cat>
            <numRef>
              <f>'Scenarios'!$A$5:$A$9</f>
            </numRef>
          </cat>
          <val>
            <numRef>
              <f>'Scenarios'!$G$5:$G$9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Final balance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26" customWidth="1" min="4" max="4"/>
    <col width="2" customWidth="1" min="5" max="5"/>
    <col width="15" customWidth="1" min="6" max="6"/>
    <col width="18" customWidth="1" min="8" max="8"/>
    <col width="2" customWidth="1" min="9" max="9"/>
    <col width="13" customWidth="1" min="10" max="10"/>
  </cols>
  <sheetData>
    <row r="1" ht="30" customHeight="1">
      <c r="A1" s="1" t="inlineStr">
        <is>
          <t>QUADRANT ROTATION — PORTFOLIO GROWTH &amp; REGIME ANALYSIS</t>
        </is>
      </c>
    </row>
    <row r="2">
      <c r="A2" s="2" t="inlineStr">
        <is>
          <t>Regime-conditional allocation framework  |  Backtest: Jun 2007 – Aug 2026  |  Prepared August 20, 2026  |  Forward validation ledger live since Aug 2026</t>
        </is>
      </c>
    </row>
    <row r="4">
      <c r="A4" s="3" t="inlineStr">
        <is>
          <t>Plan</t>
        </is>
      </c>
      <c r="B4" s="4" t="inlineStr"/>
      <c r="D4" s="3" t="inlineStr">
        <is>
          <t>Projected outcome (blended regime mix)</t>
        </is>
      </c>
      <c r="E4" s="4" t="inlineStr"/>
      <c r="F4" s="4" t="inlineStr"/>
      <c r="H4" s="3" t="inlineStr">
        <is>
          <t>Backtest profile — selected tier</t>
        </is>
      </c>
      <c r="I4" s="4" t="inlineStr"/>
      <c r="J4" s="4" t="inlineStr"/>
    </row>
    <row r="5">
      <c r="A5" s="5" t="inlineStr">
        <is>
          <t>Risk tier</t>
        </is>
      </c>
      <c r="B5" s="6">
        <f>Inputs!B7</f>
        <v/>
      </c>
      <c r="D5" s="5" t="inlineStr">
        <is>
          <t>Blended annual return</t>
        </is>
      </c>
      <c r="F5" s="7">
        <f>Inputs!B19</f>
        <v/>
      </c>
      <c r="H5" s="5" t="inlineStr">
        <is>
          <t>CAGR</t>
        </is>
      </c>
      <c r="J5" s="7">
        <f>INDEX(Evidence!$B$5:$K$10,MATCH(Inputs!$B$7,Evidence!$A$5:$A$10,0),1)</f>
        <v/>
      </c>
    </row>
    <row r="6">
      <c r="A6" s="5" t="inlineStr">
        <is>
          <t>Starting balance</t>
        </is>
      </c>
      <c r="B6" s="8">
        <f>Inputs!B5</f>
        <v/>
      </c>
      <c r="D6" s="5" t="inlineStr">
        <is>
          <t>Expected balance at horizon</t>
        </is>
      </c>
      <c r="F6" s="9">
        <f>Projection!B5</f>
        <v/>
      </c>
      <c r="H6" s="5" t="inlineStr">
        <is>
          <t>Sortino</t>
        </is>
      </c>
      <c r="J6" s="10">
        <f>INDEX(Evidence!$B$5:$K$10,MATCH(Inputs!$B$7,Evidence!$A$5:$A$10,0),2)</f>
        <v/>
      </c>
    </row>
    <row r="7">
      <c r="A7" s="5" t="inlineStr">
        <is>
          <t>Monthly contribution</t>
        </is>
      </c>
      <c r="B7" s="8">
        <f>Inputs!B6</f>
        <v/>
      </c>
      <c r="D7" s="5" t="inlineStr">
        <is>
          <t>Total contributed</t>
        </is>
      </c>
      <c r="F7" s="9">
        <f>Projection!B6</f>
        <v/>
      </c>
      <c r="H7" s="5" t="inlineStr">
        <is>
          <t>Sharpe</t>
        </is>
      </c>
      <c r="J7" s="10">
        <f>INDEX(Evidence!$B$5:$K$10,MATCH(Inputs!$B$7,Evidence!$A$5:$A$10,0),3)</f>
        <v/>
      </c>
    </row>
    <row r="8">
      <c r="A8" s="5" t="inlineStr">
        <is>
          <t>Horizon (years)</t>
        </is>
      </c>
      <c r="B8" s="6">
        <f>Inputs!B8</f>
        <v/>
      </c>
      <c r="D8" s="5" t="inlineStr">
        <is>
          <t>Investment growth</t>
        </is>
      </c>
      <c r="F8" s="9">
        <f>Projection!B7</f>
        <v/>
      </c>
      <c r="H8" s="5" t="inlineStr">
        <is>
          <t>Max drawdown</t>
        </is>
      </c>
      <c r="J8" s="7">
        <f>INDEX(Evidence!$B$5:$K$10,MATCH(Inputs!$B$7,Evidence!$A$5:$A$10,0),4)</f>
        <v/>
      </c>
    </row>
    <row r="9">
      <c r="D9" s="5" t="inlineStr">
        <is>
          <t>P10 outcome</t>
        </is>
      </c>
      <c r="F9" s="9">
        <f>Projection!G6</f>
        <v/>
      </c>
      <c r="H9" s="5" t="inlineStr">
        <is>
          <t>Beta vs S&amp;P</t>
        </is>
      </c>
      <c r="J9" s="10">
        <f>INDEX(Evidence!$B$5:$K$10,MATCH(Inputs!$B$7,Evidence!$A$5:$A$10,0),5)</f>
        <v/>
      </c>
    </row>
    <row r="10">
      <c r="D10" s="5" t="inlineStr">
        <is>
          <t>P90 outcome</t>
        </is>
      </c>
      <c r="F10" s="9">
        <f>Projection!G10</f>
        <v/>
      </c>
      <c r="H10" s="5" t="inlineStr">
        <is>
          <t>2008 return</t>
        </is>
      </c>
      <c r="J10" s="7">
        <f>INDEX(Evidence!$B$5:$K$10,MATCH(Inputs!$B$7,Evidence!$A$5:$A$10,0),6)</f>
        <v/>
      </c>
    </row>
    <row r="11">
      <c r="H11" s="5" t="inlineStr">
        <is>
          <t>2022 return</t>
        </is>
      </c>
      <c r="J11" s="7">
        <f>INDEX(Evidence!$B$5:$K$10,MATCH(Inputs!$B$7,Evidence!$A$5:$A$10,0),8)</f>
        <v/>
      </c>
    </row>
    <row r="13">
      <c r="A13" s="2" t="inlineStr">
        <is>
          <t>Backtest results with simulated leveraged instruments pre-2010. Pending forward validation (paper/ledger.csv). This model is a planning tool, not investment advice.</t>
        </is>
      </c>
    </row>
    <row r="15">
      <c r="A15" s="3" t="inlineStr">
        <is>
          <t>Navigation</t>
        </is>
      </c>
      <c r="B15" s="4" t="inlineStr"/>
    </row>
    <row r="16">
      <c r="A16" s="11" t="inlineStr">
        <is>
          <t>Inputs</t>
        </is>
      </c>
      <c r="B16" s="12" t="inlineStr">
        <is>
          <t>edit your plan</t>
        </is>
      </c>
    </row>
    <row r="17">
      <c r="A17" s="11" t="inlineStr">
        <is>
          <t>Projection</t>
        </is>
      </c>
      <c r="B17" s="12" t="inlineStr">
        <is>
          <t>month-by-month wealth path &amp; percentile outcomes</t>
        </is>
      </c>
    </row>
    <row r="18">
      <c r="A18" s="11" t="inlineStr">
        <is>
          <t>RegimeAnalysis</t>
        </is>
      </c>
      <c r="B18" s="12" t="inlineStr">
        <is>
          <t>what each regime pays your tier</t>
        </is>
      </c>
    </row>
    <row r="19">
      <c r="A19" s="11" t="inlineStr">
        <is>
          <t>Scenarios</t>
        </is>
      </c>
      <c r="B19" s="12" t="inlineStr">
        <is>
          <t>regime-mix stress tests</t>
        </is>
      </c>
    </row>
    <row r="20">
      <c r="A20" s="11" t="inlineStr">
        <is>
          <t>Evidence</t>
        </is>
      </c>
      <c r="B20" s="12" t="inlineStr">
        <is>
          <t>full backtest table incl. crisis years</t>
        </is>
      </c>
    </row>
    <row r="21">
      <c r="A21" s="11" t="inlineStr">
        <is>
          <t>Data</t>
        </is>
      </c>
      <c r="B21" s="12" t="inlineStr">
        <is>
          <t>model assumptions</t>
        </is>
      </c>
    </row>
    <row r="22">
      <c r="A22" s="11" t="inlineStr">
        <is>
          <t>Methodology</t>
        </is>
      </c>
      <c r="B22" s="12" t="inlineStr">
        <is>
          <t>how to read this workbook</t>
        </is>
      </c>
    </row>
  </sheetData>
  <mergeCells count="3">
    <mergeCell ref="A1:J1"/>
    <mergeCell ref="A13:J13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4" customHeight="1">
      <c r="A1" s="13" t="inlineStr">
        <is>
          <t>Model Data — Per-Regime Return Statistics</t>
        </is>
      </c>
    </row>
    <row r="2">
      <c r="A2" s="2" t="inlineStr">
        <is>
          <t>Source: v2 quadrant rotation backtest, Jun 2007 – Aug 2026 (PORTFOLIOS.md). Rotation sleeve only; options overlay excluded. Blue = editable assumption.</t>
        </is>
      </c>
    </row>
    <row r="4">
      <c r="A4" s="3" t="inlineStr">
        <is>
          <t>Mean monthly return by regime</t>
        </is>
      </c>
      <c r="B4" s="4" t="inlineStr"/>
      <c r="C4" s="4" t="inlineStr"/>
      <c r="D4" s="4" t="inlineStr"/>
      <c r="E4" s="4" t="inlineStr"/>
    </row>
    <row r="5">
      <c r="B5" s="14" t="inlineStr">
        <is>
          <t>Growth</t>
        </is>
      </c>
      <c r="C5" s="14" t="inlineStr">
        <is>
          <t>Reflation</t>
        </is>
      </c>
      <c r="D5" s="14" t="inlineStr">
        <is>
          <t>Stagflation</t>
        </is>
      </c>
      <c r="E5" s="14" t="inlineStr">
        <is>
          <t>Deflation</t>
        </is>
      </c>
    </row>
    <row r="6">
      <c r="A6" s="15" t="inlineStr">
        <is>
          <t>CONS</t>
        </is>
      </c>
      <c r="B6" s="16" t="n">
        <v>0.00731</v>
      </c>
      <c r="C6" s="16" t="n">
        <v>0.00769</v>
      </c>
      <c r="D6" s="16" t="n">
        <v>-0.00047</v>
      </c>
      <c r="E6" s="16" t="n">
        <v>0.007820000000000001</v>
      </c>
    </row>
    <row r="7">
      <c r="A7" s="15" t="inlineStr">
        <is>
          <t>MOD</t>
        </is>
      </c>
      <c r="B7" s="16" t="n">
        <v>0.01397</v>
      </c>
      <c r="C7" s="16" t="n">
        <v>0.01033</v>
      </c>
      <c r="D7" s="16" t="n">
        <v>-0.0011</v>
      </c>
      <c r="E7" s="16" t="n">
        <v>0.01283</v>
      </c>
    </row>
    <row r="8">
      <c r="A8" s="15" t="inlineStr">
        <is>
          <t>AGG</t>
        </is>
      </c>
      <c r="B8" s="16" t="n">
        <v>0.03406</v>
      </c>
      <c r="C8" s="16" t="n">
        <v>0.01138</v>
      </c>
      <c r="D8" s="16" t="n">
        <v>-0.00554</v>
      </c>
      <c r="E8" s="16" t="n">
        <v>0.01183</v>
      </c>
    </row>
    <row r="9">
      <c r="A9" s="15" t="inlineStr">
        <is>
          <t>VAGG</t>
        </is>
      </c>
      <c r="B9" s="16" t="n">
        <v>0.05004</v>
      </c>
      <c r="C9" s="16" t="n">
        <v>0.01556</v>
      </c>
      <c r="D9" s="16" t="n">
        <v>-0.00698</v>
      </c>
      <c r="E9" s="16" t="n">
        <v>0.01445</v>
      </c>
    </row>
    <row r="11">
      <c r="A11" s="3" t="inlineStr">
        <is>
          <t>Monthly standard deviation by regime</t>
        </is>
      </c>
      <c r="B11" s="4" t="inlineStr"/>
      <c r="C11" s="4" t="inlineStr"/>
      <c r="D11" s="4" t="inlineStr"/>
      <c r="E11" s="4" t="inlineStr"/>
    </row>
    <row r="12">
      <c r="B12" s="14" t="inlineStr">
        <is>
          <t>Growth</t>
        </is>
      </c>
      <c r="C12" s="14" t="inlineStr">
        <is>
          <t>Reflation</t>
        </is>
      </c>
      <c r="D12" s="14" t="inlineStr">
        <is>
          <t>Stagflation</t>
        </is>
      </c>
      <c r="E12" s="14" t="inlineStr">
        <is>
          <t>Deflation</t>
        </is>
      </c>
    </row>
    <row r="13">
      <c r="A13" s="15" t="inlineStr">
        <is>
          <t>CONS</t>
        </is>
      </c>
      <c r="B13" s="16" t="n">
        <v>0.01765</v>
      </c>
      <c r="C13" s="16" t="n">
        <v>0.0223</v>
      </c>
      <c r="D13" s="16" t="n">
        <v>0.01283</v>
      </c>
      <c r="E13" s="16" t="n">
        <v>0.0278</v>
      </c>
    </row>
    <row r="14">
      <c r="A14" s="15" t="inlineStr">
        <is>
          <t>MOD</t>
        </is>
      </c>
      <c r="B14" s="16" t="n">
        <v>0.03064</v>
      </c>
      <c r="C14" s="16" t="n">
        <v>0.03189</v>
      </c>
      <c r="D14" s="16" t="n">
        <v>0.01504</v>
      </c>
      <c r="E14" s="16" t="n">
        <v>0.03919</v>
      </c>
    </row>
    <row r="15">
      <c r="A15" s="15" t="inlineStr">
        <is>
          <t>AGG</t>
        </is>
      </c>
      <c r="B15" s="16" t="n">
        <v>0.09061</v>
      </c>
      <c r="C15" s="16" t="n">
        <v>0.04874</v>
      </c>
      <c r="D15" s="16" t="n">
        <v>0.02913</v>
      </c>
      <c r="E15" s="16" t="n">
        <v>0.0717</v>
      </c>
    </row>
    <row r="16">
      <c r="A16" s="15" t="inlineStr">
        <is>
          <t>VAGG</t>
        </is>
      </c>
      <c r="B16" s="16" t="n">
        <v>0.13741</v>
      </c>
      <c r="C16" s="16" t="n">
        <v>0.06776</v>
      </c>
      <c r="D16" s="16" t="n">
        <v>0.03462</v>
      </c>
      <c r="E16" s="16" t="n">
        <v>0.1052</v>
      </c>
    </row>
    <row r="18">
      <c r="A18" s="3" t="inlineStr">
        <is>
          <t>Historical regime structure (2007–2026)</t>
        </is>
      </c>
      <c r="B18" s="4" t="inlineStr"/>
      <c r="C18" s="4" t="inlineStr"/>
      <c r="D18" s="4" t="inlineStr"/>
      <c r="E18" s="4" t="inlineStr"/>
    </row>
    <row r="19">
      <c r="B19" s="17" t="inlineStr">
        <is>
          <t>Growth</t>
        </is>
      </c>
      <c r="C19" s="17" t="inlineStr">
        <is>
          <t>Reflation</t>
        </is>
      </c>
      <c r="D19" s="17" t="inlineStr">
        <is>
          <t>Stagflation</t>
        </is>
      </c>
      <c r="E19" s="17" t="inlineStr">
        <is>
          <t>Deflation</t>
        </is>
      </c>
    </row>
    <row r="20">
      <c r="A20" s="18" t="inlineStr">
        <is>
          <t>Share of months</t>
        </is>
      </c>
      <c r="B20" s="19" t="n">
        <v>0.323</v>
      </c>
      <c r="C20" s="19" t="n">
        <v>0.466</v>
      </c>
      <c r="D20" s="19" t="n">
        <v>0.082</v>
      </c>
      <c r="E20" s="19" t="n">
        <v>0.129</v>
      </c>
    </row>
    <row r="21">
      <c r="A21" s="18" t="inlineStr">
        <is>
          <t>Avg duration (months)</t>
        </is>
      </c>
      <c r="B21" s="20" t="n">
        <v>3.3</v>
      </c>
      <c r="C21" s="20" t="n">
        <v>5.4</v>
      </c>
      <c r="D21" s="20" t="n">
        <v>2.7</v>
      </c>
      <c r="E21" s="20" t="n">
        <v>2.3</v>
      </c>
    </row>
    <row r="23">
      <c r="A23" s="18" t="inlineStr">
        <is>
          <t>Risk-free rate (annual, for regime Sharpe)</t>
        </is>
      </c>
      <c r="B23" s="19" t="n">
        <v>0.019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4" customHeight="1">
      <c r="A1" s="13" t="inlineStr">
        <is>
          <t>Backtest Evidence — Full-Period &amp; Crisis-Year Performance</t>
        </is>
      </c>
    </row>
    <row r="2">
      <c r="A2" s="2" t="inlineStr">
        <is>
          <t>Jun 2007 – Aug 2026 daily data, dividends included. Leveraged ETFs simulated pre-2010 (daily reset, T-bill+100bp financing, 0.95% ER). Static reference table.</t>
        </is>
      </c>
    </row>
    <row r="4">
      <c r="A4" s="21" t="inlineStr">
        <is>
          <t>Strategy / Benchmark</t>
        </is>
      </c>
      <c r="B4" s="21" t="inlineStr">
        <is>
          <t>CAGR</t>
        </is>
      </c>
      <c r="C4" s="21" t="inlineStr">
        <is>
          <t>Sortino</t>
        </is>
      </c>
      <c r="D4" s="21" t="inlineStr">
        <is>
          <t>Sharpe</t>
        </is>
      </c>
      <c r="E4" s="21" t="inlineStr">
        <is>
          <t>Max DD</t>
        </is>
      </c>
      <c r="F4" s="21" t="inlineStr">
        <is>
          <t>Beta</t>
        </is>
      </c>
      <c r="G4" s="21" t="inlineStr">
        <is>
          <t>2008</t>
        </is>
      </c>
      <c r="H4" s="21" t="inlineStr">
        <is>
          <t>2020</t>
        </is>
      </c>
      <c r="I4" s="21" t="inlineStr">
        <is>
          <t>2022</t>
        </is>
      </c>
      <c r="J4" s="21" t="inlineStr">
        <is>
          <t>2025</t>
        </is>
      </c>
      <c r="K4" s="21" t="inlineStr">
        <is>
          <t>2026 YTD</t>
        </is>
      </c>
    </row>
    <row r="5">
      <c r="A5" s="15" t="inlineStr">
        <is>
          <t>CONS</t>
        </is>
      </c>
      <c r="B5" s="22" t="n">
        <v>0.0837</v>
      </c>
      <c r="C5" s="23" t="n">
        <v>1.1858</v>
      </c>
      <c r="D5" s="23" t="n">
        <v>0.8632</v>
      </c>
      <c r="E5" s="22" t="n">
        <v>-0.1306</v>
      </c>
      <c r="F5" s="23" t="n">
        <v>0.1749</v>
      </c>
      <c r="G5" s="22" t="n">
        <v>0.1381</v>
      </c>
      <c r="H5" s="22" t="n">
        <v>0.09329999999999999</v>
      </c>
      <c r="I5" s="22" t="n">
        <v>-0.0127</v>
      </c>
      <c r="J5" s="22" t="n">
        <v>0.1949</v>
      </c>
      <c r="K5" s="22" t="n">
        <v>0.1357</v>
      </c>
    </row>
    <row r="6">
      <c r="A6" s="15" t="inlineStr">
        <is>
          <t>MOD</t>
        </is>
      </c>
      <c r="B6" s="24" t="n">
        <v>0.1327</v>
      </c>
      <c r="C6" s="25" t="n">
        <v>1.3476</v>
      </c>
      <c r="D6" s="25" t="n">
        <v>0.9798</v>
      </c>
      <c r="E6" s="24" t="n">
        <v>-0.1496</v>
      </c>
      <c r="F6" s="25" t="n">
        <v>0.3065</v>
      </c>
      <c r="G6" s="24" t="n">
        <v>0.1541</v>
      </c>
      <c r="H6" s="24" t="n">
        <v>0.2216</v>
      </c>
      <c r="I6" s="24" t="n">
        <v>-0.0292</v>
      </c>
      <c r="J6" s="24" t="n">
        <v>0.2553</v>
      </c>
      <c r="K6" s="24" t="n">
        <v>0.1916</v>
      </c>
    </row>
    <row r="7">
      <c r="A7" s="15" t="inlineStr">
        <is>
          <t>AGG</t>
        </is>
      </c>
      <c r="B7" s="22" t="n">
        <v>0.1985</v>
      </c>
      <c r="C7" s="23" t="n">
        <v>1.0121</v>
      </c>
      <c r="D7" s="23" t="n">
        <v>0.7635</v>
      </c>
      <c r="E7" s="22" t="n">
        <v>-0.365</v>
      </c>
      <c r="F7" s="23" t="n">
        <v>0.5868</v>
      </c>
      <c r="G7" s="22" t="n">
        <v>0.33</v>
      </c>
      <c r="H7" s="22" t="n">
        <v>0.6318</v>
      </c>
      <c r="I7" s="22" t="n">
        <v>-0.2428</v>
      </c>
      <c r="J7" s="22" t="n">
        <v>0.3696</v>
      </c>
      <c r="K7" s="22" t="n">
        <v>0.2083</v>
      </c>
    </row>
    <row r="8">
      <c r="A8" s="15" t="inlineStr">
        <is>
          <t>VAGG</t>
        </is>
      </c>
      <c r="B8" s="24" t="n">
        <v>0.267</v>
      </c>
      <c r="C8" s="25" t="n">
        <v>1.0056</v>
      </c>
      <c r="D8" s="25" t="n">
        <v>0.7679</v>
      </c>
      <c r="E8" s="24" t="n">
        <v>-0.5102</v>
      </c>
      <c r="F8" s="25" t="n">
        <v>0.8663</v>
      </c>
      <c r="G8" s="24" t="n">
        <v>0.5061</v>
      </c>
      <c r="H8" s="24" t="n">
        <v>0.9036999999999999</v>
      </c>
      <c r="I8" s="24" t="n">
        <v>-0.3465</v>
      </c>
      <c r="J8" s="24" t="n">
        <v>0.4406</v>
      </c>
      <c r="K8" s="24" t="n">
        <v>0.3146</v>
      </c>
    </row>
    <row r="9">
      <c r="A9" s="5" t="inlineStr">
        <is>
          <t>SPY buy &amp; hold</t>
        </is>
      </c>
      <c r="B9" s="22" t="n">
        <v>0.1082</v>
      </c>
      <c r="C9" s="23" t="n">
        <v>0.6697</v>
      </c>
      <c r="D9" s="23" t="n">
        <v>0.5458</v>
      </c>
      <c r="E9" s="22" t="n">
        <v>-0.5518999999999999</v>
      </c>
      <c r="F9" s="23" t="n">
        <v>1.0002</v>
      </c>
      <c r="G9" s="22" t="n">
        <v>-0.368</v>
      </c>
      <c r="H9" s="22" t="n">
        <v>0.1833</v>
      </c>
      <c r="I9" s="22" t="n">
        <v>-0.1818</v>
      </c>
      <c r="J9" s="22" t="n">
        <v>0.1772</v>
      </c>
      <c r="K9" s="22" t="n">
        <v>0.1391</v>
      </c>
    </row>
    <row r="10">
      <c r="A10" s="5" t="inlineStr">
        <is>
          <t>QQQ buy &amp; hold</t>
        </is>
      </c>
      <c r="B10" s="22" t="n">
        <v>0.1625</v>
      </c>
      <c r="C10" s="23" t="n">
        <v>0.9358</v>
      </c>
      <c r="D10" s="23" t="n">
        <v>0.7202</v>
      </c>
      <c r="E10" s="22" t="n">
        <v>-0.534</v>
      </c>
      <c r="F10" s="23" t="n">
        <v>1.0467</v>
      </c>
      <c r="G10" s="22" t="n">
        <v>-0.4173</v>
      </c>
      <c r="H10" s="22" t="n">
        <v>0.4841</v>
      </c>
      <c r="I10" s="22" t="n">
        <v>-0.3258</v>
      </c>
      <c r="J10" s="22" t="n">
        <v>0.2077</v>
      </c>
      <c r="K10" s="22" t="n">
        <v>0.1909</v>
      </c>
    </row>
    <row r="12">
      <c r="A12" s="26" t="inlineStr">
        <is>
          <t>MOD is the reference profile: beats S&amp;P CAGR with ~1/4 the drawdown; +15.4% in 2008 and −2.9% in 2022 — opposite-type crises.</t>
        </is>
      </c>
    </row>
    <row r="13">
      <c r="A13" s="26" t="inlineStr">
        <is>
          <t>Forward validation: paper/ledger.csv (append-only, logged monthly by automated routine since Aug 2026).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3" t="inlineStr">
        <is>
          <t>Inputs — Your Plan</t>
        </is>
      </c>
    </row>
    <row r="2">
      <c r="A2" s="2" t="inlineStr">
        <is>
          <t>Edit the shaded cells only. All sheets recalculate. Regime mix defaults to the 2007–2026 historical distribution.</t>
        </is>
      </c>
    </row>
    <row r="4">
      <c r="A4" s="3" t="inlineStr">
        <is>
          <t>Account</t>
        </is>
      </c>
      <c r="B4" s="4" t="inlineStr"/>
      <c r="C4" s="4" t="inlineStr"/>
    </row>
    <row r="5">
      <c r="A5" s="5" t="inlineStr">
        <is>
          <t>Starting balance ($)</t>
        </is>
      </c>
      <c r="B5" s="27" t="n">
        <v>8000</v>
      </c>
    </row>
    <row r="6">
      <c r="A6" s="5" t="inlineStr">
        <is>
          <t>Monthly contribution ($)</t>
        </is>
      </c>
      <c r="B6" s="27" t="n">
        <v>500</v>
      </c>
    </row>
    <row r="7">
      <c r="A7" s="5" t="inlineStr">
        <is>
          <t>Risk tier</t>
        </is>
      </c>
      <c r="B7" s="28" t="inlineStr">
        <is>
          <t>MOD</t>
        </is>
      </c>
    </row>
    <row r="8">
      <c r="A8" s="5" t="inlineStr">
        <is>
          <t>Projection horizon (years)</t>
        </is>
      </c>
      <c r="B8" s="28" t="n">
        <v>10</v>
      </c>
    </row>
    <row r="10">
      <c r="A10" s="3" t="inlineStr">
        <is>
          <t>Regime mix — expected share of time</t>
        </is>
      </c>
      <c r="B10" s="4" t="inlineStr"/>
      <c r="C10" s="4" t="inlineStr"/>
      <c r="D10" s="4" t="inlineStr"/>
      <c r="E10" s="4" t="inlineStr"/>
      <c r="F10" s="4" t="inlineStr"/>
    </row>
    <row r="11">
      <c r="B11" s="17" t="inlineStr">
        <is>
          <t>Growth</t>
        </is>
      </c>
      <c r="C11" s="17" t="inlineStr">
        <is>
          <t>Reflation</t>
        </is>
      </c>
      <c r="D11" s="17" t="inlineStr">
        <is>
          <t>Stagflation</t>
        </is>
      </c>
      <c r="E11" s="17" t="inlineStr">
        <is>
          <t>Deflation</t>
        </is>
      </c>
    </row>
    <row r="12">
      <c r="A12" s="5" t="inlineStr">
        <is>
          <t>Weight</t>
        </is>
      </c>
      <c r="B12" s="29" t="n">
        <v>0.32</v>
      </c>
      <c r="C12" s="29" t="n">
        <v>0.47</v>
      </c>
      <c r="D12" s="29" t="n">
        <v>0.08</v>
      </c>
      <c r="E12" s="29" t="n">
        <v>0.13</v>
      </c>
      <c r="F12" s="30">
        <f>SUM(B12:E12)</f>
        <v/>
      </c>
      <c r="G12" s="31">
        <f>IF(ABS(F12-1)&gt;0.005,"← must sum to 100%","")</f>
        <v/>
      </c>
    </row>
    <row r="14">
      <c r="A14" s="3" t="inlineStr">
        <is>
          <t>Frictions</t>
        </is>
      </c>
      <c r="B14" s="4" t="inlineStr"/>
      <c r="C14" s="4" t="inlineStr"/>
    </row>
    <row r="15">
      <c r="A15" s="5" t="inlineStr">
        <is>
          <t>Regime-switch cost drag (bps / year)</t>
        </is>
      </c>
      <c r="B15" s="28" t="n">
        <v>60</v>
      </c>
      <c r="C15" s="32" t="inlineStr">
        <is>
          <t>backtested range 50–70 bps at ~10 bps per unit turnover</t>
        </is>
      </c>
    </row>
    <row r="17">
      <c r="A17" s="3" t="inlineStr">
        <is>
          <t>Derived (do not edit)</t>
        </is>
      </c>
      <c r="B17" s="4" t="inlineStr"/>
      <c r="C17" s="4" t="inlineStr"/>
    </row>
    <row r="18">
      <c r="A18" s="18" t="inlineStr">
        <is>
          <t>Blended mean monthly return</t>
        </is>
      </c>
      <c r="B18" s="33">
        <f>SUMPRODUCT($B$12:$E$12,INDEX(Data!$B$6:$E$9,MATCH($B$7,Data!$A$6:$A$9,0),0))-$B$15/10000/12</f>
        <v/>
      </c>
    </row>
    <row r="19">
      <c r="A19" s="18" t="inlineStr">
        <is>
          <t>Blended annual return</t>
        </is>
      </c>
      <c r="B19" s="34">
        <f>(1+B18)^12-1</f>
        <v/>
      </c>
    </row>
    <row r="20">
      <c r="A20" s="18" t="inlineStr">
        <is>
          <t>Blended monthly std dev (approx)</t>
        </is>
      </c>
      <c r="B20" s="33">
        <f>SUMPRODUCT($B$12:$E$12,INDEX(Data!$B$13:$E$16,MATCH($B$7,Data!$A$6:$A$9,0),0))</f>
        <v/>
      </c>
    </row>
    <row r="21">
      <c r="A21" s="18" t="inlineStr">
        <is>
          <t>Annual std dev (approx)</t>
        </is>
      </c>
      <c r="B21" s="34">
        <f>B20*SQRT(12)</f>
        <v/>
      </c>
    </row>
    <row r="22">
      <c r="A22" s="18" t="inlineStr">
        <is>
          <t>Std error of avg annual return over horizon</t>
        </is>
      </c>
      <c r="B22" s="34">
        <f>B21/SQRT(B8)</f>
        <v/>
      </c>
    </row>
    <row r="23">
      <c r="A23" s="18" t="inlineStr">
        <is>
          <t>Low-path monthly rate (−1 s.e.)</t>
        </is>
      </c>
      <c r="B23" s="33">
        <f>(1+B19-B22)^(1/12)-1</f>
        <v/>
      </c>
    </row>
    <row r="24">
      <c r="A24" s="18" t="inlineStr">
        <is>
          <t>High-path monthly rate (+1 s.e.)</t>
        </is>
      </c>
      <c r="B24" s="33">
        <f>(1+B19+B22)^(1/12)-1</f>
        <v/>
      </c>
    </row>
  </sheetData>
  <mergeCells count="2">
    <mergeCell ref="A1:J1"/>
    <mergeCell ref="A2:J2"/>
  </mergeCells>
  <dataValidations count="1">
    <dataValidation sqref="B7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J37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15" customWidth="1" min="4" max="4"/>
    <col width="15" customWidth="1" min="5" max="5"/>
    <col width="12" customWidth="1" min="6" max="6"/>
    <col width="14" customWidth="1" min="7" max="7"/>
  </cols>
  <sheetData>
    <row r="1" ht="24" customHeight="1">
      <c r="A1" s="13" t="inlineStr">
        <is>
          <t>Wealth Projection — Month by Month</t>
        </is>
      </c>
    </row>
    <row r="2">
      <c r="A2" s="2" t="inlineStr">
        <is>
          <t>Expected path at the blended regime-mix return; Low/High band = ±1 standard error on the average growth rate. Not a drawdown bound (see Evidence Max DD).</t>
        </is>
      </c>
    </row>
    <row r="4">
      <c r="A4" s="3" t="inlineStr">
        <is>
          <t>Summary at horizon</t>
        </is>
      </c>
      <c r="B4" s="4" t="inlineStr"/>
      <c r="D4" s="3" t="inlineStr">
        <is>
          <t>Distribution of outcomes at horizon (constant-rate percentile paths)</t>
        </is>
      </c>
      <c r="E4" s="4" t="inlineStr"/>
      <c r="F4" s="4" t="inlineStr"/>
      <c r="G4" s="4" t="inlineStr"/>
    </row>
    <row r="5">
      <c r="A5" s="5" t="inlineStr">
        <is>
          <t>Expected balance</t>
        </is>
      </c>
      <c r="B5" s="35">
        <f>INDEX(C:C,Inputs!$B$8*12+10)</f>
        <v/>
      </c>
      <c r="D5" s="17" t="inlineStr">
        <is>
          <t>Percentile</t>
        </is>
      </c>
      <c r="E5" s="17" t="inlineStr">
        <is>
          <t>z</t>
        </is>
      </c>
      <c r="F5" s="17" t="inlineStr">
        <is>
          <t>Annual rate</t>
        </is>
      </c>
      <c r="G5" s="17" t="inlineStr">
        <is>
          <t>Final balance</t>
        </is>
      </c>
    </row>
    <row r="6">
      <c r="A6" s="5" t="inlineStr">
        <is>
          <t>Total contributed</t>
        </is>
      </c>
      <c r="B6" s="35">
        <f>Inputs!$B$5+Inputs!$B$6*Inputs!$B$8*12</f>
        <v/>
      </c>
      <c r="D6" s="18" t="inlineStr">
        <is>
          <t>P10</t>
        </is>
      </c>
      <c r="E6" s="36" t="n">
        <v>-1.2816</v>
      </c>
      <c r="F6" s="37">
        <f>Inputs!$B$19+E6*Inputs!$B$22</f>
        <v/>
      </c>
      <c r="G6" s="38">
        <f>IF(((1+F6)^(1/12)-1)=0,Inputs!$B$5+Inputs!$B$6*(Inputs!$B$8*12),Inputs!$B$5*(1+((1+F6)^(1/12)-1))^(Inputs!$B$8*12)+Inputs!$B$6*(((1+((1+F6)^(1/12)-1))^(Inputs!$B$8*12))-1)/((1+F6)^(1/12)-1))</f>
        <v/>
      </c>
    </row>
    <row r="7">
      <c r="A7" s="5" t="inlineStr">
        <is>
          <t>Investment growth</t>
        </is>
      </c>
      <c r="B7" s="35">
        <f>B5-B6</f>
        <v/>
      </c>
      <c r="D7" s="18" t="inlineStr">
        <is>
          <t>P25</t>
        </is>
      </c>
      <c r="E7" s="36" t="n">
        <v>-0.6745</v>
      </c>
      <c r="F7" s="37">
        <f>Inputs!$B$19+E7*Inputs!$B$22</f>
        <v/>
      </c>
      <c r="G7" s="38">
        <f>IF(((1+F7)^(1/12)-1)=0,Inputs!$B$5+Inputs!$B$6*(Inputs!$B$8*12),Inputs!$B$5*(1+((1+F7)^(1/12)-1))^(Inputs!$B$8*12)+Inputs!$B$6*(((1+((1+F7)^(1/12)-1))^(Inputs!$B$8*12))-1)/((1+F7)^(1/12)-1))</f>
        <v/>
      </c>
    </row>
    <row r="8">
      <c r="D8" s="18" t="inlineStr">
        <is>
          <t>P50 (median)</t>
        </is>
      </c>
      <c r="E8" s="36" t="n">
        <v>0</v>
      </c>
      <c r="F8" s="37">
        <f>Inputs!$B$19+E8*Inputs!$B$22</f>
        <v/>
      </c>
      <c r="G8" s="38">
        <f>IF(((1+F8)^(1/12)-1)=0,Inputs!$B$5+Inputs!$B$6*(Inputs!$B$8*12),Inputs!$B$5*(1+((1+F8)^(1/12)-1))^(Inputs!$B$8*12)+Inputs!$B$6*(((1+((1+F8)^(1/12)-1))^(Inputs!$B$8*12))-1)/((1+F8)^(1/12)-1))</f>
        <v/>
      </c>
    </row>
    <row r="9">
      <c r="A9" s="3" t="inlineStr">
        <is>
          <t>Projection table</t>
        </is>
      </c>
      <c r="B9" s="4" t="inlineStr"/>
      <c r="C9" s="4" t="inlineStr"/>
      <c r="D9" s="39" t="inlineStr">
        <is>
          <t>P75</t>
        </is>
      </c>
      <c r="E9" s="40" t="n">
        <v>0.6745</v>
      </c>
      <c r="F9" s="37">
        <f>Inputs!$B$19+E9*Inputs!$B$22</f>
        <v/>
      </c>
      <c r="G9" s="38">
        <f>IF(((1+F9)^(1/12)-1)=0,Inputs!$B$5+Inputs!$B$6*(Inputs!$B$8*12),Inputs!$B$5*(1+((1+F9)^(1/12)-1))^(Inputs!$B$8*12)+Inputs!$B$6*(((1+((1+F9)^(1/12)-1))^(Inputs!$B$8*12))-1)/((1+F9)^(1/12)-1))</f>
        <v/>
      </c>
    </row>
    <row r="10">
      <c r="A10" s="41" t="inlineStr">
        <is>
          <t>Month</t>
        </is>
      </c>
      <c r="B10" s="41" t="inlineStr">
        <is>
          <t>Contribution</t>
        </is>
      </c>
      <c r="C10" s="41" t="inlineStr">
        <is>
          <t>Expected</t>
        </is>
      </c>
      <c r="D10" s="41" t="inlineStr">
        <is>
          <t>Low (−1 s.e.)</t>
        </is>
      </c>
      <c r="E10" s="42" t="inlineStr">
        <is>
          <t>High (+1 s.e.)</t>
        </is>
      </c>
      <c r="F10" s="37">
        <f>Inputs!$B$19+E10*Inputs!$B$22</f>
        <v/>
      </c>
      <c r="G10" s="38">
        <f>IF(((1+F10)^(1/12)-1)=0,Inputs!$B$5+Inputs!$B$6*(Inputs!$B$8*12),Inputs!$B$5*(1+((1+F10)^(1/12)-1))^(Inputs!$B$8*12)+Inputs!$B$6*(((1+((1+F10)^(1/12)-1))^(Inputs!$B$8*12))-1)/((1+F10)^(1/12)-1))</f>
        <v/>
      </c>
    </row>
    <row r="11">
      <c r="A11" s="43" t="n">
        <v>1</v>
      </c>
      <c r="B11" s="38">
        <f>Inputs!$B$6</f>
        <v/>
      </c>
      <c r="C11" s="38">
        <f>Inputs!$B$5*(1+Inputs!$B$18)+Inputs!$B$6</f>
        <v/>
      </c>
      <c r="D11" s="38">
        <f>Inputs!$B$5*(1+Inputs!$B$23)+Inputs!$B$6</f>
        <v/>
      </c>
      <c r="E11" s="38">
        <f>Inputs!$B$5*(1+Inputs!$B$24)+Inputs!$B$6</f>
        <v/>
      </c>
    </row>
    <row r="12">
      <c r="A12" s="43" t="n">
        <v>2</v>
      </c>
      <c r="B12" s="38">
        <f>Inputs!$B$6</f>
        <v/>
      </c>
      <c r="C12" s="38">
        <f>C11*(1+Inputs!$B$18)+Inputs!$B$6</f>
        <v/>
      </c>
      <c r="D12" s="38">
        <f>D11*(1+Inputs!$B$23)+Inputs!$B$6</f>
        <v/>
      </c>
      <c r="E12" s="38">
        <f>E11*(1+Inputs!$B$24)+Inputs!$B$6</f>
        <v/>
      </c>
    </row>
    <row r="13">
      <c r="A13" s="43" t="n">
        <v>3</v>
      </c>
      <c r="B13" s="38">
        <f>Inputs!$B$6</f>
        <v/>
      </c>
      <c r="C13" s="38">
        <f>C12*(1+Inputs!$B$18)+Inputs!$B$6</f>
        <v/>
      </c>
      <c r="D13" s="38">
        <f>D12*(1+Inputs!$B$23)+Inputs!$B$6</f>
        <v/>
      </c>
      <c r="E13" s="38">
        <f>E12*(1+Inputs!$B$24)+Inputs!$B$6</f>
        <v/>
      </c>
    </row>
    <row r="14">
      <c r="A14" s="43" t="n">
        <v>4</v>
      </c>
      <c r="B14" s="38">
        <f>Inputs!$B$6</f>
        <v/>
      </c>
      <c r="C14" s="38">
        <f>C13*(1+Inputs!$B$18)+Inputs!$B$6</f>
        <v/>
      </c>
      <c r="D14" s="38">
        <f>D13*(1+Inputs!$B$23)+Inputs!$B$6</f>
        <v/>
      </c>
      <c r="E14" s="38">
        <f>E13*(1+Inputs!$B$24)+Inputs!$B$6</f>
        <v/>
      </c>
    </row>
    <row r="15">
      <c r="A15" s="43" t="n">
        <v>5</v>
      </c>
      <c r="B15" s="38">
        <f>Inputs!$B$6</f>
        <v/>
      </c>
      <c r="C15" s="38">
        <f>C14*(1+Inputs!$B$18)+Inputs!$B$6</f>
        <v/>
      </c>
      <c r="D15" s="38">
        <f>D14*(1+Inputs!$B$23)+Inputs!$B$6</f>
        <v/>
      </c>
      <c r="E15" s="38">
        <f>E14*(1+Inputs!$B$24)+Inputs!$B$6</f>
        <v/>
      </c>
    </row>
    <row r="16">
      <c r="A16" s="43" t="n">
        <v>6</v>
      </c>
      <c r="B16" s="38">
        <f>Inputs!$B$6</f>
        <v/>
      </c>
      <c r="C16" s="38">
        <f>C15*(1+Inputs!$B$18)+Inputs!$B$6</f>
        <v/>
      </c>
      <c r="D16" s="38">
        <f>D15*(1+Inputs!$B$23)+Inputs!$B$6</f>
        <v/>
      </c>
      <c r="E16" s="38">
        <f>E15*(1+Inputs!$B$24)+Inputs!$B$6</f>
        <v/>
      </c>
    </row>
    <row r="17">
      <c r="A17" s="43" t="n">
        <v>7</v>
      </c>
      <c r="B17" s="38">
        <f>Inputs!$B$6</f>
        <v/>
      </c>
      <c r="C17" s="38">
        <f>C16*(1+Inputs!$B$18)+Inputs!$B$6</f>
        <v/>
      </c>
      <c r="D17" s="38">
        <f>D16*(1+Inputs!$B$23)+Inputs!$B$6</f>
        <v/>
      </c>
      <c r="E17" s="38">
        <f>E16*(1+Inputs!$B$24)+Inputs!$B$6</f>
        <v/>
      </c>
    </row>
    <row r="18">
      <c r="A18" s="43" t="n">
        <v>8</v>
      </c>
      <c r="B18" s="38">
        <f>Inputs!$B$6</f>
        <v/>
      </c>
      <c r="C18" s="38">
        <f>C17*(1+Inputs!$B$18)+Inputs!$B$6</f>
        <v/>
      </c>
      <c r="D18" s="38">
        <f>D17*(1+Inputs!$B$23)+Inputs!$B$6</f>
        <v/>
      </c>
      <c r="E18" s="38">
        <f>E17*(1+Inputs!$B$24)+Inputs!$B$6</f>
        <v/>
      </c>
    </row>
    <row r="19">
      <c r="A19" s="43" t="n">
        <v>9</v>
      </c>
      <c r="B19" s="38">
        <f>Inputs!$B$6</f>
        <v/>
      </c>
      <c r="C19" s="38">
        <f>C18*(1+Inputs!$B$18)+Inputs!$B$6</f>
        <v/>
      </c>
      <c r="D19" s="38">
        <f>D18*(1+Inputs!$B$23)+Inputs!$B$6</f>
        <v/>
      </c>
      <c r="E19" s="38">
        <f>E18*(1+Inputs!$B$24)+Inputs!$B$6</f>
        <v/>
      </c>
    </row>
    <row r="20">
      <c r="A20" s="43" t="n">
        <v>10</v>
      </c>
      <c r="B20" s="38">
        <f>Inputs!$B$6</f>
        <v/>
      </c>
      <c r="C20" s="38">
        <f>C19*(1+Inputs!$B$18)+Inputs!$B$6</f>
        <v/>
      </c>
      <c r="D20" s="38">
        <f>D19*(1+Inputs!$B$23)+Inputs!$B$6</f>
        <v/>
      </c>
      <c r="E20" s="38">
        <f>E19*(1+Inputs!$B$24)+Inputs!$B$6</f>
        <v/>
      </c>
    </row>
    <row r="21">
      <c r="A21" s="43" t="n">
        <v>11</v>
      </c>
      <c r="B21" s="38">
        <f>Inputs!$B$6</f>
        <v/>
      </c>
      <c r="C21" s="38">
        <f>C20*(1+Inputs!$B$18)+Inputs!$B$6</f>
        <v/>
      </c>
      <c r="D21" s="38">
        <f>D20*(1+Inputs!$B$23)+Inputs!$B$6</f>
        <v/>
      </c>
      <c r="E21" s="38">
        <f>E20*(1+Inputs!$B$24)+Inputs!$B$6</f>
        <v/>
      </c>
    </row>
    <row r="22">
      <c r="A22" s="43" t="n">
        <v>12</v>
      </c>
      <c r="B22" s="38">
        <f>Inputs!$B$6</f>
        <v/>
      </c>
      <c r="C22" s="38">
        <f>C21*(1+Inputs!$B$18)+Inputs!$B$6</f>
        <v/>
      </c>
      <c r="D22" s="38">
        <f>D21*(1+Inputs!$B$23)+Inputs!$B$6</f>
        <v/>
      </c>
      <c r="E22" s="38">
        <f>E21*(1+Inputs!$B$24)+Inputs!$B$6</f>
        <v/>
      </c>
    </row>
    <row r="23">
      <c r="A23" s="43" t="n">
        <v>13</v>
      </c>
      <c r="B23" s="38">
        <f>Inputs!$B$6</f>
        <v/>
      </c>
      <c r="C23" s="38">
        <f>C22*(1+Inputs!$B$18)+Inputs!$B$6</f>
        <v/>
      </c>
      <c r="D23" s="38">
        <f>D22*(1+Inputs!$B$23)+Inputs!$B$6</f>
        <v/>
      </c>
      <c r="E23" s="38">
        <f>E22*(1+Inputs!$B$24)+Inputs!$B$6</f>
        <v/>
      </c>
    </row>
    <row r="24">
      <c r="A24" s="43" t="n">
        <v>14</v>
      </c>
      <c r="B24" s="38">
        <f>Inputs!$B$6</f>
        <v/>
      </c>
      <c r="C24" s="38">
        <f>C23*(1+Inputs!$B$18)+Inputs!$B$6</f>
        <v/>
      </c>
      <c r="D24" s="38">
        <f>D23*(1+Inputs!$B$23)+Inputs!$B$6</f>
        <v/>
      </c>
      <c r="E24" s="38">
        <f>E23*(1+Inputs!$B$24)+Inputs!$B$6</f>
        <v/>
      </c>
    </row>
    <row r="25">
      <c r="A25" s="43" t="n">
        <v>15</v>
      </c>
      <c r="B25" s="38">
        <f>Inputs!$B$6</f>
        <v/>
      </c>
      <c r="C25" s="38">
        <f>C24*(1+Inputs!$B$18)+Inputs!$B$6</f>
        <v/>
      </c>
      <c r="D25" s="38">
        <f>D24*(1+Inputs!$B$23)+Inputs!$B$6</f>
        <v/>
      </c>
      <c r="E25" s="38">
        <f>E24*(1+Inputs!$B$24)+Inputs!$B$6</f>
        <v/>
      </c>
    </row>
    <row r="26">
      <c r="A26" s="43" t="n">
        <v>16</v>
      </c>
      <c r="B26" s="38">
        <f>Inputs!$B$6</f>
        <v/>
      </c>
      <c r="C26" s="38">
        <f>C25*(1+Inputs!$B$18)+Inputs!$B$6</f>
        <v/>
      </c>
      <c r="D26" s="38">
        <f>D25*(1+Inputs!$B$23)+Inputs!$B$6</f>
        <v/>
      </c>
      <c r="E26" s="38">
        <f>E25*(1+Inputs!$B$24)+Inputs!$B$6</f>
        <v/>
      </c>
    </row>
    <row r="27">
      <c r="A27" s="43" t="n">
        <v>17</v>
      </c>
      <c r="B27" s="38">
        <f>Inputs!$B$6</f>
        <v/>
      </c>
      <c r="C27" s="38">
        <f>C26*(1+Inputs!$B$18)+Inputs!$B$6</f>
        <v/>
      </c>
      <c r="D27" s="38">
        <f>D26*(1+Inputs!$B$23)+Inputs!$B$6</f>
        <v/>
      </c>
      <c r="E27" s="38">
        <f>E26*(1+Inputs!$B$24)+Inputs!$B$6</f>
        <v/>
      </c>
    </row>
    <row r="28">
      <c r="A28" s="43" t="n">
        <v>18</v>
      </c>
      <c r="B28" s="38">
        <f>Inputs!$B$6</f>
        <v/>
      </c>
      <c r="C28" s="38">
        <f>C27*(1+Inputs!$B$18)+Inputs!$B$6</f>
        <v/>
      </c>
      <c r="D28" s="38">
        <f>D27*(1+Inputs!$B$23)+Inputs!$B$6</f>
        <v/>
      </c>
      <c r="E28" s="38">
        <f>E27*(1+Inputs!$B$24)+Inputs!$B$6</f>
        <v/>
      </c>
    </row>
    <row r="29">
      <c r="A29" s="43" t="n">
        <v>19</v>
      </c>
      <c r="B29" s="38">
        <f>Inputs!$B$6</f>
        <v/>
      </c>
      <c r="C29" s="38">
        <f>C28*(1+Inputs!$B$18)+Inputs!$B$6</f>
        <v/>
      </c>
      <c r="D29" s="38">
        <f>D28*(1+Inputs!$B$23)+Inputs!$B$6</f>
        <v/>
      </c>
      <c r="E29" s="38">
        <f>E28*(1+Inputs!$B$24)+Inputs!$B$6</f>
        <v/>
      </c>
    </row>
    <row r="30">
      <c r="A30" s="43" t="n">
        <v>20</v>
      </c>
      <c r="B30" s="38">
        <f>Inputs!$B$6</f>
        <v/>
      </c>
      <c r="C30" s="38">
        <f>C29*(1+Inputs!$B$18)+Inputs!$B$6</f>
        <v/>
      </c>
      <c r="D30" s="38">
        <f>D29*(1+Inputs!$B$23)+Inputs!$B$6</f>
        <v/>
      </c>
      <c r="E30" s="38">
        <f>E29*(1+Inputs!$B$24)+Inputs!$B$6</f>
        <v/>
      </c>
    </row>
    <row r="31">
      <c r="A31" s="43" t="n">
        <v>21</v>
      </c>
      <c r="B31" s="38">
        <f>Inputs!$B$6</f>
        <v/>
      </c>
      <c r="C31" s="38">
        <f>C30*(1+Inputs!$B$18)+Inputs!$B$6</f>
        <v/>
      </c>
      <c r="D31" s="38">
        <f>D30*(1+Inputs!$B$23)+Inputs!$B$6</f>
        <v/>
      </c>
      <c r="E31" s="38">
        <f>E30*(1+Inputs!$B$24)+Inputs!$B$6</f>
        <v/>
      </c>
    </row>
    <row r="32">
      <c r="A32" s="43" t="n">
        <v>22</v>
      </c>
      <c r="B32" s="38">
        <f>Inputs!$B$6</f>
        <v/>
      </c>
      <c r="C32" s="38">
        <f>C31*(1+Inputs!$B$18)+Inputs!$B$6</f>
        <v/>
      </c>
      <c r="D32" s="38">
        <f>D31*(1+Inputs!$B$23)+Inputs!$B$6</f>
        <v/>
      </c>
      <c r="E32" s="38">
        <f>E31*(1+Inputs!$B$24)+Inputs!$B$6</f>
        <v/>
      </c>
    </row>
    <row r="33">
      <c r="A33" s="43" t="n">
        <v>23</v>
      </c>
      <c r="B33" s="38">
        <f>Inputs!$B$6</f>
        <v/>
      </c>
      <c r="C33" s="38">
        <f>C32*(1+Inputs!$B$18)+Inputs!$B$6</f>
        <v/>
      </c>
      <c r="D33" s="38">
        <f>D32*(1+Inputs!$B$23)+Inputs!$B$6</f>
        <v/>
      </c>
      <c r="E33" s="38">
        <f>E32*(1+Inputs!$B$24)+Inputs!$B$6</f>
        <v/>
      </c>
    </row>
    <row r="34">
      <c r="A34" s="43" t="n">
        <v>24</v>
      </c>
      <c r="B34" s="38">
        <f>Inputs!$B$6</f>
        <v/>
      </c>
      <c r="C34" s="38">
        <f>C33*(1+Inputs!$B$18)+Inputs!$B$6</f>
        <v/>
      </c>
      <c r="D34" s="38">
        <f>D33*(1+Inputs!$B$23)+Inputs!$B$6</f>
        <v/>
      </c>
      <c r="E34" s="38">
        <f>E33*(1+Inputs!$B$24)+Inputs!$B$6</f>
        <v/>
      </c>
    </row>
    <row r="35">
      <c r="A35" s="43" t="n">
        <v>25</v>
      </c>
      <c r="B35" s="38">
        <f>Inputs!$B$6</f>
        <v/>
      </c>
      <c r="C35" s="38">
        <f>C34*(1+Inputs!$B$18)+Inputs!$B$6</f>
        <v/>
      </c>
      <c r="D35" s="38">
        <f>D34*(1+Inputs!$B$23)+Inputs!$B$6</f>
        <v/>
      </c>
      <c r="E35" s="38">
        <f>E34*(1+Inputs!$B$24)+Inputs!$B$6</f>
        <v/>
      </c>
    </row>
    <row r="36">
      <c r="A36" s="43" t="n">
        <v>26</v>
      </c>
      <c r="B36" s="38">
        <f>Inputs!$B$6</f>
        <v/>
      </c>
      <c r="C36" s="38">
        <f>C35*(1+Inputs!$B$18)+Inputs!$B$6</f>
        <v/>
      </c>
      <c r="D36" s="38">
        <f>D35*(1+Inputs!$B$23)+Inputs!$B$6</f>
        <v/>
      </c>
      <c r="E36" s="38">
        <f>E35*(1+Inputs!$B$24)+Inputs!$B$6</f>
        <v/>
      </c>
    </row>
    <row r="37">
      <c r="A37" s="43" t="n">
        <v>27</v>
      </c>
      <c r="B37" s="38">
        <f>Inputs!$B$6</f>
        <v/>
      </c>
      <c r="C37" s="38">
        <f>C36*(1+Inputs!$B$18)+Inputs!$B$6</f>
        <v/>
      </c>
      <c r="D37" s="38">
        <f>D36*(1+Inputs!$B$23)+Inputs!$B$6</f>
        <v/>
      </c>
      <c r="E37" s="38">
        <f>E36*(1+Inputs!$B$24)+Inputs!$B$6</f>
        <v/>
      </c>
    </row>
    <row r="38">
      <c r="A38" s="43" t="n">
        <v>28</v>
      </c>
      <c r="B38" s="38">
        <f>Inputs!$B$6</f>
        <v/>
      </c>
      <c r="C38" s="38">
        <f>C37*(1+Inputs!$B$18)+Inputs!$B$6</f>
        <v/>
      </c>
      <c r="D38" s="38">
        <f>D37*(1+Inputs!$B$23)+Inputs!$B$6</f>
        <v/>
      </c>
      <c r="E38" s="38">
        <f>E37*(1+Inputs!$B$24)+Inputs!$B$6</f>
        <v/>
      </c>
    </row>
    <row r="39">
      <c r="A39" s="43" t="n">
        <v>29</v>
      </c>
      <c r="B39" s="38">
        <f>Inputs!$B$6</f>
        <v/>
      </c>
      <c r="C39" s="38">
        <f>C38*(1+Inputs!$B$18)+Inputs!$B$6</f>
        <v/>
      </c>
      <c r="D39" s="38">
        <f>D38*(1+Inputs!$B$23)+Inputs!$B$6</f>
        <v/>
      </c>
      <c r="E39" s="38">
        <f>E38*(1+Inputs!$B$24)+Inputs!$B$6</f>
        <v/>
      </c>
    </row>
    <row r="40">
      <c r="A40" s="43" t="n">
        <v>30</v>
      </c>
      <c r="B40" s="38">
        <f>Inputs!$B$6</f>
        <v/>
      </c>
      <c r="C40" s="38">
        <f>C39*(1+Inputs!$B$18)+Inputs!$B$6</f>
        <v/>
      </c>
      <c r="D40" s="38">
        <f>D39*(1+Inputs!$B$23)+Inputs!$B$6</f>
        <v/>
      </c>
      <c r="E40" s="38">
        <f>E39*(1+Inputs!$B$24)+Inputs!$B$6</f>
        <v/>
      </c>
    </row>
    <row r="41">
      <c r="A41" s="43" t="n">
        <v>31</v>
      </c>
      <c r="B41" s="38">
        <f>Inputs!$B$6</f>
        <v/>
      </c>
      <c r="C41" s="38">
        <f>C40*(1+Inputs!$B$18)+Inputs!$B$6</f>
        <v/>
      </c>
      <c r="D41" s="38">
        <f>D40*(1+Inputs!$B$23)+Inputs!$B$6</f>
        <v/>
      </c>
      <c r="E41" s="38">
        <f>E40*(1+Inputs!$B$24)+Inputs!$B$6</f>
        <v/>
      </c>
    </row>
    <row r="42">
      <c r="A42" s="43" t="n">
        <v>32</v>
      </c>
      <c r="B42" s="38">
        <f>Inputs!$B$6</f>
        <v/>
      </c>
      <c r="C42" s="38">
        <f>C41*(1+Inputs!$B$18)+Inputs!$B$6</f>
        <v/>
      </c>
      <c r="D42" s="38">
        <f>D41*(1+Inputs!$B$23)+Inputs!$B$6</f>
        <v/>
      </c>
      <c r="E42" s="38">
        <f>E41*(1+Inputs!$B$24)+Inputs!$B$6</f>
        <v/>
      </c>
    </row>
    <row r="43">
      <c r="A43" s="43" t="n">
        <v>33</v>
      </c>
      <c r="B43" s="38">
        <f>Inputs!$B$6</f>
        <v/>
      </c>
      <c r="C43" s="38">
        <f>C42*(1+Inputs!$B$18)+Inputs!$B$6</f>
        <v/>
      </c>
      <c r="D43" s="38">
        <f>D42*(1+Inputs!$B$23)+Inputs!$B$6</f>
        <v/>
      </c>
      <c r="E43" s="38">
        <f>E42*(1+Inputs!$B$24)+Inputs!$B$6</f>
        <v/>
      </c>
    </row>
    <row r="44">
      <c r="A44" s="43" t="n">
        <v>34</v>
      </c>
      <c r="B44" s="38">
        <f>Inputs!$B$6</f>
        <v/>
      </c>
      <c r="C44" s="38">
        <f>C43*(1+Inputs!$B$18)+Inputs!$B$6</f>
        <v/>
      </c>
      <c r="D44" s="38">
        <f>D43*(1+Inputs!$B$23)+Inputs!$B$6</f>
        <v/>
      </c>
      <c r="E44" s="38">
        <f>E43*(1+Inputs!$B$24)+Inputs!$B$6</f>
        <v/>
      </c>
    </row>
    <row r="45">
      <c r="A45" s="43" t="n">
        <v>35</v>
      </c>
      <c r="B45" s="38">
        <f>Inputs!$B$6</f>
        <v/>
      </c>
      <c r="C45" s="38">
        <f>C44*(1+Inputs!$B$18)+Inputs!$B$6</f>
        <v/>
      </c>
      <c r="D45" s="38">
        <f>D44*(1+Inputs!$B$23)+Inputs!$B$6</f>
        <v/>
      </c>
      <c r="E45" s="38">
        <f>E44*(1+Inputs!$B$24)+Inputs!$B$6</f>
        <v/>
      </c>
    </row>
    <row r="46">
      <c r="A46" s="43" t="n">
        <v>36</v>
      </c>
      <c r="B46" s="38">
        <f>Inputs!$B$6</f>
        <v/>
      </c>
      <c r="C46" s="38">
        <f>C45*(1+Inputs!$B$18)+Inputs!$B$6</f>
        <v/>
      </c>
      <c r="D46" s="38">
        <f>D45*(1+Inputs!$B$23)+Inputs!$B$6</f>
        <v/>
      </c>
      <c r="E46" s="38">
        <f>E45*(1+Inputs!$B$24)+Inputs!$B$6</f>
        <v/>
      </c>
    </row>
    <row r="47">
      <c r="A47" s="43" t="n">
        <v>37</v>
      </c>
      <c r="B47" s="38">
        <f>Inputs!$B$6</f>
        <v/>
      </c>
      <c r="C47" s="38">
        <f>C46*(1+Inputs!$B$18)+Inputs!$B$6</f>
        <v/>
      </c>
      <c r="D47" s="38">
        <f>D46*(1+Inputs!$B$23)+Inputs!$B$6</f>
        <v/>
      </c>
      <c r="E47" s="38">
        <f>E46*(1+Inputs!$B$24)+Inputs!$B$6</f>
        <v/>
      </c>
    </row>
    <row r="48">
      <c r="A48" s="43" t="n">
        <v>38</v>
      </c>
      <c r="B48" s="38">
        <f>Inputs!$B$6</f>
        <v/>
      </c>
      <c r="C48" s="38">
        <f>C47*(1+Inputs!$B$18)+Inputs!$B$6</f>
        <v/>
      </c>
      <c r="D48" s="38">
        <f>D47*(1+Inputs!$B$23)+Inputs!$B$6</f>
        <v/>
      </c>
      <c r="E48" s="38">
        <f>E47*(1+Inputs!$B$24)+Inputs!$B$6</f>
        <v/>
      </c>
    </row>
    <row r="49">
      <c r="A49" s="43" t="n">
        <v>39</v>
      </c>
      <c r="B49" s="38">
        <f>Inputs!$B$6</f>
        <v/>
      </c>
      <c r="C49" s="38">
        <f>C48*(1+Inputs!$B$18)+Inputs!$B$6</f>
        <v/>
      </c>
      <c r="D49" s="38">
        <f>D48*(1+Inputs!$B$23)+Inputs!$B$6</f>
        <v/>
      </c>
      <c r="E49" s="38">
        <f>E48*(1+Inputs!$B$24)+Inputs!$B$6</f>
        <v/>
      </c>
    </row>
    <row r="50">
      <c r="A50" s="43" t="n">
        <v>40</v>
      </c>
      <c r="B50" s="38">
        <f>Inputs!$B$6</f>
        <v/>
      </c>
      <c r="C50" s="38">
        <f>C49*(1+Inputs!$B$18)+Inputs!$B$6</f>
        <v/>
      </c>
      <c r="D50" s="38">
        <f>D49*(1+Inputs!$B$23)+Inputs!$B$6</f>
        <v/>
      </c>
      <c r="E50" s="38">
        <f>E49*(1+Inputs!$B$24)+Inputs!$B$6</f>
        <v/>
      </c>
    </row>
    <row r="51">
      <c r="A51" s="43" t="n">
        <v>41</v>
      </c>
      <c r="B51" s="38">
        <f>Inputs!$B$6</f>
        <v/>
      </c>
      <c r="C51" s="38">
        <f>C50*(1+Inputs!$B$18)+Inputs!$B$6</f>
        <v/>
      </c>
      <c r="D51" s="38">
        <f>D50*(1+Inputs!$B$23)+Inputs!$B$6</f>
        <v/>
      </c>
      <c r="E51" s="38">
        <f>E50*(1+Inputs!$B$24)+Inputs!$B$6</f>
        <v/>
      </c>
    </row>
    <row r="52">
      <c r="A52" s="43" t="n">
        <v>42</v>
      </c>
      <c r="B52" s="38">
        <f>Inputs!$B$6</f>
        <v/>
      </c>
      <c r="C52" s="38">
        <f>C51*(1+Inputs!$B$18)+Inputs!$B$6</f>
        <v/>
      </c>
      <c r="D52" s="38">
        <f>D51*(1+Inputs!$B$23)+Inputs!$B$6</f>
        <v/>
      </c>
      <c r="E52" s="38">
        <f>E51*(1+Inputs!$B$24)+Inputs!$B$6</f>
        <v/>
      </c>
    </row>
    <row r="53">
      <c r="A53" s="43" t="n">
        <v>43</v>
      </c>
      <c r="B53" s="38">
        <f>Inputs!$B$6</f>
        <v/>
      </c>
      <c r="C53" s="38">
        <f>C52*(1+Inputs!$B$18)+Inputs!$B$6</f>
        <v/>
      </c>
      <c r="D53" s="38">
        <f>D52*(1+Inputs!$B$23)+Inputs!$B$6</f>
        <v/>
      </c>
      <c r="E53" s="38">
        <f>E52*(1+Inputs!$B$24)+Inputs!$B$6</f>
        <v/>
      </c>
    </row>
    <row r="54">
      <c r="A54" s="43" t="n">
        <v>44</v>
      </c>
      <c r="B54" s="38">
        <f>Inputs!$B$6</f>
        <v/>
      </c>
      <c r="C54" s="38">
        <f>C53*(1+Inputs!$B$18)+Inputs!$B$6</f>
        <v/>
      </c>
      <c r="D54" s="38">
        <f>D53*(1+Inputs!$B$23)+Inputs!$B$6</f>
        <v/>
      </c>
      <c r="E54" s="38">
        <f>E53*(1+Inputs!$B$24)+Inputs!$B$6</f>
        <v/>
      </c>
    </row>
    <row r="55">
      <c r="A55" s="43" t="n">
        <v>45</v>
      </c>
      <c r="B55" s="38">
        <f>Inputs!$B$6</f>
        <v/>
      </c>
      <c r="C55" s="38">
        <f>C54*(1+Inputs!$B$18)+Inputs!$B$6</f>
        <v/>
      </c>
      <c r="D55" s="38">
        <f>D54*(1+Inputs!$B$23)+Inputs!$B$6</f>
        <v/>
      </c>
      <c r="E55" s="38">
        <f>E54*(1+Inputs!$B$24)+Inputs!$B$6</f>
        <v/>
      </c>
    </row>
    <row r="56">
      <c r="A56" s="43" t="n">
        <v>46</v>
      </c>
      <c r="B56" s="38">
        <f>Inputs!$B$6</f>
        <v/>
      </c>
      <c r="C56" s="38">
        <f>C55*(1+Inputs!$B$18)+Inputs!$B$6</f>
        <v/>
      </c>
      <c r="D56" s="38">
        <f>D55*(1+Inputs!$B$23)+Inputs!$B$6</f>
        <v/>
      </c>
      <c r="E56" s="38">
        <f>E55*(1+Inputs!$B$24)+Inputs!$B$6</f>
        <v/>
      </c>
    </row>
    <row r="57">
      <c r="A57" s="43" t="n">
        <v>47</v>
      </c>
      <c r="B57" s="38">
        <f>Inputs!$B$6</f>
        <v/>
      </c>
      <c r="C57" s="38">
        <f>C56*(1+Inputs!$B$18)+Inputs!$B$6</f>
        <v/>
      </c>
      <c r="D57" s="38">
        <f>D56*(1+Inputs!$B$23)+Inputs!$B$6</f>
        <v/>
      </c>
      <c r="E57" s="38">
        <f>E56*(1+Inputs!$B$24)+Inputs!$B$6</f>
        <v/>
      </c>
    </row>
    <row r="58">
      <c r="A58" s="43" t="n">
        <v>48</v>
      </c>
      <c r="B58" s="38">
        <f>Inputs!$B$6</f>
        <v/>
      </c>
      <c r="C58" s="38">
        <f>C57*(1+Inputs!$B$18)+Inputs!$B$6</f>
        <v/>
      </c>
      <c r="D58" s="38">
        <f>D57*(1+Inputs!$B$23)+Inputs!$B$6</f>
        <v/>
      </c>
      <c r="E58" s="38">
        <f>E57*(1+Inputs!$B$24)+Inputs!$B$6</f>
        <v/>
      </c>
    </row>
    <row r="59">
      <c r="A59" s="43" t="n">
        <v>49</v>
      </c>
      <c r="B59" s="38">
        <f>Inputs!$B$6</f>
        <v/>
      </c>
      <c r="C59" s="38">
        <f>C58*(1+Inputs!$B$18)+Inputs!$B$6</f>
        <v/>
      </c>
      <c r="D59" s="38">
        <f>D58*(1+Inputs!$B$23)+Inputs!$B$6</f>
        <v/>
      </c>
      <c r="E59" s="38">
        <f>E58*(1+Inputs!$B$24)+Inputs!$B$6</f>
        <v/>
      </c>
    </row>
    <row r="60">
      <c r="A60" s="43" t="n">
        <v>50</v>
      </c>
      <c r="B60" s="38">
        <f>Inputs!$B$6</f>
        <v/>
      </c>
      <c r="C60" s="38">
        <f>C59*(1+Inputs!$B$18)+Inputs!$B$6</f>
        <v/>
      </c>
      <c r="D60" s="38">
        <f>D59*(1+Inputs!$B$23)+Inputs!$B$6</f>
        <v/>
      </c>
      <c r="E60" s="38">
        <f>E59*(1+Inputs!$B$24)+Inputs!$B$6</f>
        <v/>
      </c>
    </row>
    <row r="61">
      <c r="A61" s="43" t="n">
        <v>51</v>
      </c>
      <c r="B61" s="38">
        <f>Inputs!$B$6</f>
        <v/>
      </c>
      <c r="C61" s="38">
        <f>C60*(1+Inputs!$B$18)+Inputs!$B$6</f>
        <v/>
      </c>
      <c r="D61" s="38">
        <f>D60*(1+Inputs!$B$23)+Inputs!$B$6</f>
        <v/>
      </c>
      <c r="E61" s="38">
        <f>E60*(1+Inputs!$B$24)+Inputs!$B$6</f>
        <v/>
      </c>
    </row>
    <row r="62">
      <c r="A62" s="43" t="n">
        <v>52</v>
      </c>
      <c r="B62" s="38">
        <f>Inputs!$B$6</f>
        <v/>
      </c>
      <c r="C62" s="38">
        <f>C61*(1+Inputs!$B$18)+Inputs!$B$6</f>
        <v/>
      </c>
      <c r="D62" s="38">
        <f>D61*(1+Inputs!$B$23)+Inputs!$B$6</f>
        <v/>
      </c>
      <c r="E62" s="38">
        <f>E61*(1+Inputs!$B$24)+Inputs!$B$6</f>
        <v/>
      </c>
    </row>
    <row r="63">
      <c r="A63" s="43" t="n">
        <v>53</v>
      </c>
      <c r="B63" s="38">
        <f>Inputs!$B$6</f>
        <v/>
      </c>
      <c r="C63" s="38">
        <f>C62*(1+Inputs!$B$18)+Inputs!$B$6</f>
        <v/>
      </c>
      <c r="D63" s="38">
        <f>D62*(1+Inputs!$B$23)+Inputs!$B$6</f>
        <v/>
      </c>
      <c r="E63" s="38">
        <f>E62*(1+Inputs!$B$24)+Inputs!$B$6</f>
        <v/>
      </c>
    </row>
    <row r="64">
      <c r="A64" s="43" t="n">
        <v>54</v>
      </c>
      <c r="B64" s="38">
        <f>Inputs!$B$6</f>
        <v/>
      </c>
      <c r="C64" s="38">
        <f>C63*(1+Inputs!$B$18)+Inputs!$B$6</f>
        <v/>
      </c>
      <c r="D64" s="38">
        <f>D63*(1+Inputs!$B$23)+Inputs!$B$6</f>
        <v/>
      </c>
      <c r="E64" s="38">
        <f>E63*(1+Inputs!$B$24)+Inputs!$B$6</f>
        <v/>
      </c>
    </row>
    <row r="65">
      <c r="A65" s="43" t="n">
        <v>55</v>
      </c>
      <c r="B65" s="38">
        <f>Inputs!$B$6</f>
        <v/>
      </c>
      <c r="C65" s="38">
        <f>C64*(1+Inputs!$B$18)+Inputs!$B$6</f>
        <v/>
      </c>
      <c r="D65" s="38">
        <f>D64*(1+Inputs!$B$23)+Inputs!$B$6</f>
        <v/>
      </c>
      <c r="E65" s="38">
        <f>E64*(1+Inputs!$B$24)+Inputs!$B$6</f>
        <v/>
      </c>
    </row>
    <row r="66">
      <c r="A66" s="43" t="n">
        <v>56</v>
      </c>
      <c r="B66" s="38">
        <f>Inputs!$B$6</f>
        <v/>
      </c>
      <c r="C66" s="38">
        <f>C65*(1+Inputs!$B$18)+Inputs!$B$6</f>
        <v/>
      </c>
      <c r="D66" s="38">
        <f>D65*(1+Inputs!$B$23)+Inputs!$B$6</f>
        <v/>
      </c>
      <c r="E66" s="38">
        <f>E65*(1+Inputs!$B$24)+Inputs!$B$6</f>
        <v/>
      </c>
    </row>
    <row r="67">
      <c r="A67" s="43" t="n">
        <v>57</v>
      </c>
      <c r="B67" s="38">
        <f>Inputs!$B$6</f>
        <v/>
      </c>
      <c r="C67" s="38">
        <f>C66*(1+Inputs!$B$18)+Inputs!$B$6</f>
        <v/>
      </c>
      <c r="D67" s="38">
        <f>D66*(1+Inputs!$B$23)+Inputs!$B$6</f>
        <v/>
      </c>
      <c r="E67" s="38">
        <f>E66*(1+Inputs!$B$24)+Inputs!$B$6</f>
        <v/>
      </c>
    </row>
    <row r="68">
      <c r="A68" s="43" t="n">
        <v>58</v>
      </c>
      <c r="B68" s="38">
        <f>Inputs!$B$6</f>
        <v/>
      </c>
      <c r="C68" s="38">
        <f>C67*(1+Inputs!$B$18)+Inputs!$B$6</f>
        <v/>
      </c>
      <c r="D68" s="38">
        <f>D67*(1+Inputs!$B$23)+Inputs!$B$6</f>
        <v/>
      </c>
      <c r="E68" s="38">
        <f>E67*(1+Inputs!$B$24)+Inputs!$B$6</f>
        <v/>
      </c>
    </row>
    <row r="69">
      <c r="A69" s="43" t="n">
        <v>59</v>
      </c>
      <c r="B69" s="38">
        <f>Inputs!$B$6</f>
        <v/>
      </c>
      <c r="C69" s="38">
        <f>C68*(1+Inputs!$B$18)+Inputs!$B$6</f>
        <v/>
      </c>
      <c r="D69" s="38">
        <f>D68*(1+Inputs!$B$23)+Inputs!$B$6</f>
        <v/>
      </c>
      <c r="E69" s="38">
        <f>E68*(1+Inputs!$B$24)+Inputs!$B$6</f>
        <v/>
      </c>
    </row>
    <row r="70">
      <c r="A70" s="43" t="n">
        <v>60</v>
      </c>
      <c r="B70" s="38">
        <f>Inputs!$B$6</f>
        <v/>
      </c>
      <c r="C70" s="38">
        <f>C69*(1+Inputs!$B$18)+Inputs!$B$6</f>
        <v/>
      </c>
      <c r="D70" s="38">
        <f>D69*(1+Inputs!$B$23)+Inputs!$B$6</f>
        <v/>
      </c>
      <c r="E70" s="38">
        <f>E69*(1+Inputs!$B$24)+Inputs!$B$6</f>
        <v/>
      </c>
    </row>
    <row r="71">
      <c r="A71" s="43" t="n">
        <v>61</v>
      </c>
      <c r="B71" s="38">
        <f>Inputs!$B$6</f>
        <v/>
      </c>
      <c r="C71" s="38">
        <f>C70*(1+Inputs!$B$18)+Inputs!$B$6</f>
        <v/>
      </c>
      <c r="D71" s="38">
        <f>D70*(1+Inputs!$B$23)+Inputs!$B$6</f>
        <v/>
      </c>
      <c r="E71" s="38">
        <f>E70*(1+Inputs!$B$24)+Inputs!$B$6</f>
        <v/>
      </c>
    </row>
    <row r="72">
      <c r="A72" s="43" t="n">
        <v>62</v>
      </c>
      <c r="B72" s="38">
        <f>Inputs!$B$6</f>
        <v/>
      </c>
      <c r="C72" s="38">
        <f>C71*(1+Inputs!$B$18)+Inputs!$B$6</f>
        <v/>
      </c>
      <c r="D72" s="38">
        <f>D71*(1+Inputs!$B$23)+Inputs!$B$6</f>
        <v/>
      </c>
      <c r="E72" s="38">
        <f>E71*(1+Inputs!$B$24)+Inputs!$B$6</f>
        <v/>
      </c>
    </row>
    <row r="73">
      <c r="A73" s="43" t="n">
        <v>63</v>
      </c>
      <c r="B73" s="38">
        <f>Inputs!$B$6</f>
        <v/>
      </c>
      <c r="C73" s="38">
        <f>C72*(1+Inputs!$B$18)+Inputs!$B$6</f>
        <v/>
      </c>
      <c r="D73" s="38">
        <f>D72*(1+Inputs!$B$23)+Inputs!$B$6</f>
        <v/>
      </c>
      <c r="E73" s="38">
        <f>E72*(1+Inputs!$B$24)+Inputs!$B$6</f>
        <v/>
      </c>
    </row>
    <row r="74">
      <c r="A74" s="43" t="n">
        <v>64</v>
      </c>
      <c r="B74" s="38">
        <f>Inputs!$B$6</f>
        <v/>
      </c>
      <c r="C74" s="38">
        <f>C73*(1+Inputs!$B$18)+Inputs!$B$6</f>
        <v/>
      </c>
      <c r="D74" s="38">
        <f>D73*(1+Inputs!$B$23)+Inputs!$B$6</f>
        <v/>
      </c>
      <c r="E74" s="38">
        <f>E73*(1+Inputs!$B$24)+Inputs!$B$6</f>
        <v/>
      </c>
    </row>
    <row r="75">
      <c r="A75" s="43" t="n">
        <v>65</v>
      </c>
      <c r="B75" s="38">
        <f>Inputs!$B$6</f>
        <v/>
      </c>
      <c r="C75" s="38">
        <f>C74*(1+Inputs!$B$18)+Inputs!$B$6</f>
        <v/>
      </c>
      <c r="D75" s="38">
        <f>D74*(1+Inputs!$B$23)+Inputs!$B$6</f>
        <v/>
      </c>
      <c r="E75" s="38">
        <f>E74*(1+Inputs!$B$24)+Inputs!$B$6</f>
        <v/>
      </c>
    </row>
    <row r="76">
      <c r="A76" s="43" t="n">
        <v>66</v>
      </c>
      <c r="B76" s="38">
        <f>Inputs!$B$6</f>
        <v/>
      </c>
      <c r="C76" s="38">
        <f>C75*(1+Inputs!$B$18)+Inputs!$B$6</f>
        <v/>
      </c>
      <c r="D76" s="38">
        <f>D75*(1+Inputs!$B$23)+Inputs!$B$6</f>
        <v/>
      </c>
      <c r="E76" s="38">
        <f>E75*(1+Inputs!$B$24)+Inputs!$B$6</f>
        <v/>
      </c>
    </row>
    <row r="77">
      <c r="A77" s="43" t="n">
        <v>67</v>
      </c>
      <c r="B77" s="38">
        <f>Inputs!$B$6</f>
        <v/>
      </c>
      <c r="C77" s="38">
        <f>C76*(1+Inputs!$B$18)+Inputs!$B$6</f>
        <v/>
      </c>
      <c r="D77" s="38">
        <f>D76*(1+Inputs!$B$23)+Inputs!$B$6</f>
        <v/>
      </c>
      <c r="E77" s="38">
        <f>E76*(1+Inputs!$B$24)+Inputs!$B$6</f>
        <v/>
      </c>
    </row>
    <row r="78">
      <c r="A78" s="43" t="n">
        <v>68</v>
      </c>
      <c r="B78" s="38">
        <f>Inputs!$B$6</f>
        <v/>
      </c>
      <c r="C78" s="38">
        <f>C77*(1+Inputs!$B$18)+Inputs!$B$6</f>
        <v/>
      </c>
      <c r="D78" s="38">
        <f>D77*(1+Inputs!$B$23)+Inputs!$B$6</f>
        <v/>
      </c>
      <c r="E78" s="38">
        <f>E77*(1+Inputs!$B$24)+Inputs!$B$6</f>
        <v/>
      </c>
    </row>
    <row r="79">
      <c r="A79" s="43" t="n">
        <v>69</v>
      </c>
      <c r="B79" s="38">
        <f>Inputs!$B$6</f>
        <v/>
      </c>
      <c r="C79" s="38">
        <f>C78*(1+Inputs!$B$18)+Inputs!$B$6</f>
        <v/>
      </c>
      <c r="D79" s="38">
        <f>D78*(1+Inputs!$B$23)+Inputs!$B$6</f>
        <v/>
      </c>
      <c r="E79" s="38">
        <f>E78*(1+Inputs!$B$24)+Inputs!$B$6</f>
        <v/>
      </c>
    </row>
    <row r="80">
      <c r="A80" s="43" t="n">
        <v>70</v>
      </c>
      <c r="B80" s="38">
        <f>Inputs!$B$6</f>
        <v/>
      </c>
      <c r="C80" s="38">
        <f>C79*(1+Inputs!$B$18)+Inputs!$B$6</f>
        <v/>
      </c>
      <c r="D80" s="38">
        <f>D79*(1+Inputs!$B$23)+Inputs!$B$6</f>
        <v/>
      </c>
      <c r="E80" s="38">
        <f>E79*(1+Inputs!$B$24)+Inputs!$B$6</f>
        <v/>
      </c>
    </row>
    <row r="81">
      <c r="A81" s="43" t="n">
        <v>71</v>
      </c>
      <c r="B81" s="38">
        <f>Inputs!$B$6</f>
        <v/>
      </c>
      <c r="C81" s="38">
        <f>C80*(1+Inputs!$B$18)+Inputs!$B$6</f>
        <v/>
      </c>
      <c r="D81" s="38">
        <f>D80*(1+Inputs!$B$23)+Inputs!$B$6</f>
        <v/>
      </c>
      <c r="E81" s="38">
        <f>E80*(1+Inputs!$B$24)+Inputs!$B$6</f>
        <v/>
      </c>
    </row>
    <row r="82">
      <c r="A82" s="43" t="n">
        <v>72</v>
      </c>
      <c r="B82" s="38">
        <f>Inputs!$B$6</f>
        <v/>
      </c>
      <c r="C82" s="38">
        <f>C81*(1+Inputs!$B$18)+Inputs!$B$6</f>
        <v/>
      </c>
      <c r="D82" s="38">
        <f>D81*(1+Inputs!$B$23)+Inputs!$B$6</f>
        <v/>
      </c>
      <c r="E82" s="38">
        <f>E81*(1+Inputs!$B$24)+Inputs!$B$6</f>
        <v/>
      </c>
    </row>
    <row r="83">
      <c r="A83" s="43" t="n">
        <v>73</v>
      </c>
      <c r="B83" s="38">
        <f>Inputs!$B$6</f>
        <v/>
      </c>
      <c r="C83" s="38">
        <f>C82*(1+Inputs!$B$18)+Inputs!$B$6</f>
        <v/>
      </c>
      <c r="D83" s="38">
        <f>D82*(1+Inputs!$B$23)+Inputs!$B$6</f>
        <v/>
      </c>
      <c r="E83" s="38">
        <f>E82*(1+Inputs!$B$24)+Inputs!$B$6</f>
        <v/>
      </c>
    </row>
    <row r="84">
      <c r="A84" s="43" t="n">
        <v>74</v>
      </c>
      <c r="B84" s="38">
        <f>Inputs!$B$6</f>
        <v/>
      </c>
      <c r="C84" s="38">
        <f>C83*(1+Inputs!$B$18)+Inputs!$B$6</f>
        <v/>
      </c>
      <c r="D84" s="38">
        <f>D83*(1+Inputs!$B$23)+Inputs!$B$6</f>
        <v/>
      </c>
      <c r="E84" s="38">
        <f>E83*(1+Inputs!$B$24)+Inputs!$B$6</f>
        <v/>
      </c>
    </row>
    <row r="85">
      <c r="A85" s="43" t="n">
        <v>75</v>
      </c>
      <c r="B85" s="38">
        <f>Inputs!$B$6</f>
        <v/>
      </c>
      <c r="C85" s="38">
        <f>C84*(1+Inputs!$B$18)+Inputs!$B$6</f>
        <v/>
      </c>
      <c r="D85" s="38">
        <f>D84*(1+Inputs!$B$23)+Inputs!$B$6</f>
        <v/>
      </c>
      <c r="E85" s="38">
        <f>E84*(1+Inputs!$B$24)+Inputs!$B$6</f>
        <v/>
      </c>
    </row>
    <row r="86">
      <c r="A86" s="43" t="n">
        <v>76</v>
      </c>
      <c r="B86" s="38">
        <f>Inputs!$B$6</f>
        <v/>
      </c>
      <c r="C86" s="38">
        <f>C85*(1+Inputs!$B$18)+Inputs!$B$6</f>
        <v/>
      </c>
      <c r="D86" s="38">
        <f>D85*(1+Inputs!$B$23)+Inputs!$B$6</f>
        <v/>
      </c>
      <c r="E86" s="38">
        <f>E85*(1+Inputs!$B$24)+Inputs!$B$6</f>
        <v/>
      </c>
    </row>
    <row r="87">
      <c r="A87" s="43" t="n">
        <v>77</v>
      </c>
      <c r="B87" s="38">
        <f>Inputs!$B$6</f>
        <v/>
      </c>
      <c r="C87" s="38">
        <f>C86*(1+Inputs!$B$18)+Inputs!$B$6</f>
        <v/>
      </c>
      <c r="D87" s="38">
        <f>D86*(1+Inputs!$B$23)+Inputs!$B$6</f>
        <v/>
      </c>
      <c r="E87" s="38">
        <f>E86*(1+Inputs!$B$24)+Inputs!$B$6</f>
        <v/>
      </c>
    </row>
    <row r="88">
      <c r="A88" s="43" t="n">
        <v>78</v>
      </c>
      <c r="B88" s="38">
        <f>Inputs!$B$6</f>
        <v/>
      </c>
      <c r="C88" s="38">
        <f>C87*(1+Inputs!$B$18)+Inputs!$B$6</f>
        <v/>
      </c>
      <c r="D88" s="38">
        <f>D87*(1+Inputs!$B$23)+Inputs!$B$6</f>
        <v/>
      </c>
      <c r="E88" s="38">
        <f>E87*(1+Inputs!$B$24)+Inputs!$B$6</f>
        <v/>
      </c>
    </row>
    <row r="89">
      <c r="A89" s="43" t="n">
        <v>79</v>
      </c>
      <c r="B89" s="38">
        <f>Inputs!$B$6</f>
        <v/>
      </c>
      <c r="C89" s="38">
        <f>C88*(1+Inputs!$B$18)+Inputs!$B$6</f>
        <v/>
      </c>
      <c r="D89" s="38">
        <f>D88*(1+Inputs!$B$23)+Inputs!$B$6</f>
        <v/>
      </c>
      <c r="E89" s="38">
        <f>E88*(1+Inputs!$B$24)+Inputs!$B$6</f>
        <v/>
      </c>
    </row>
    <row r="90">
      <c r="A90" s="43" t="n">
        <v>80</v>
      </c>
      <c r="B90" s="38">
        <f>Inputs!$B$6</f>
        <v/>
      </c>
      <c r="C90" s="38">
        <f>C89*(1+Inputs!$B$18)+Inputs!$B$6</f>
        <v/>
      </c>
      <c r="D90" s="38">
        <f>D89*(1+Inputs!$B$23)+Inputs!$B$6</f>
        <v/>
      </c>
      <c r="E90" s="38">
        <f>E89*(1+Inputs!$B$24)+Inputs!$B$6</f>
        <v/>
      </c>
    </row>
    <row r="91">
      <c r="A91" s="43" t="n">
        <v>81</v>
      </c>
      <c r="B91" s="38">
        <f>Inputs!$B$6</f>
        <v/>
      </c>
      <c r="C91" s="38">
        <f>C90*(1+Inputs!$B$18)+Inputs!$B$6</f>
        <v/>
      </c>
      <c r="D91" s="38">
        <f>D90*(1+Inputs!$B$23)+Inputs!$B$6</f>
        <v/>
      </c>
      <c r="E91" s="38">
        <f>E90*(1+Inputs!$B$24)+Inputs!$B$6</f>
        <v/>
      </c>
    </row>
    <row r="92">
      <c r="A92" s="43" t="n">
        <v>82</v>
      </c>
      <c r="B92" s="38">
        <f>Inputs!$B$6</f>
        <v/>
      </c>
      <c r="C92" s="38">
        <f>C91*(1+Inputs!$B$18)+Inputs!$B$6</f>
        <v/>
      </c>
      <c r="D92" s="38">
        <f>D91*(1+Inputs!$B$23)+Inputs!$B$6</f>
        <v/>
      </c>
      <c r="E92" s="38">
        <f>E91*(1+Inputs!$B$24)+Inputs!$B$6</f>
        <v/>
      </c>
    </row>
    <row r="93">
      <c r="A93" s="43" t="n">
        <v>83</v>
      </c>
      <c r="B93" s="38">
        <f>Inputs!$B$6</f>
        <v/>
      </c>
      <c r="C93" s="38">
        <f>C92*(1+Inputs!$B$18)+Inputs!$B$6</f>
        <v/>
      </c>
      <c r="D93" s="38">
        <f>D92*(1+Inputs!$B$23)+Inputs!$B$6</f>
        <v/>
      </c>
      <c r="E93" s="38">
        <f>E92*(1+Inputs!$B$24)+Inputs!$B$6</f>
        <v/>
      </c>
    </row>
    <row r="94">
      <c r="A94" s="43" t="n">
        <v>84</v>
      </c>
      <c r="B94" s="38">
        <f>Inputs!$B$6</f>
        <v/>
      </c>
      <c r="C94" s="38">
        <f>C93*(1+Inputs!$B$18)+Inputs!$B$6</f>
        <v/>
      </c>
      <c r="D94" s="38">
        <f>D93*(1+Inputs!$B$23)+Inputs!$B$6</f>
        <v/>
      </c>
      <c r="E94" s="38">
        <f>E93*(1+Inputs!$B$24)+Inputs!$B$6</f>
        <v/>
      </c>
    </row>
    <row r="95">
      <c r="A95" s="43" t="n">
        <v>85</v>
      </c>
      <c r="B95" s="38">
        <f>Inputs!$B$6</f>
        <v/>
      </c>
      <c r="C95" s="38">
        <f>C94*(1+Inputs!$B$18)+Inputs!$B$6</f>
        <v/>
      </c>
      <c r="D95" s="38">
        <f>D94*(1+Inputs!$B$23)+Inputs!$B$6</f>
        <v/>
      </c>
      <c r="E95" s="38">
        <f>E94*(1+Inputs!$B$24)+Inputs!$B$6</f>
        <v/>
      </c>
    </row>
    <row r="96">
      <c r="A96" s="43" t="n">
        <v>86</v>
      </c>
      <c r="B96" s="38">
        <f>Inputs!$B$6</f>
        <v/>
      </c>
      <c r="C96" s="38">
        <f>C95*(1+Inputs!$B$18)+Inputs!$B$6</f>
        <v/>
      </c>
      <c r="D96" s="38">
        <f>D95*(1+Inputs!$B$23)+Inputs!$B$6</f>
        <v/>
      </c>
      <c r="E96" s="38">
        <f>E95*(1+Inputs!$B$24)+Inputs!$B$6</f>
        <v/>
      </c>
    </row>
    <row r="97">
      <c r="A97" s="43" t="n">
        <v>87</v>
      </c>
      <c r="B97" s="38">
        <f>Inputs!$B$6</f>
        <v/>
      </c>
      <c r="C97" s="38">
        <f>C96*(1+Inputs!$B$18)+Inputs!$B$6</f>
        <v/>
      </c>
      <c r="D97" s="38">
        <f>D96*(1+Inputs!$B$23)+Inputs!$B$6</f>
        <v/>
      </c>
      <c r="E97" s="38">
        <f>E96*(1+Inputs!$B$24)+Inputs!$B$6</f>
        <v/>
      </c>
    </row>
    <row r="98">
      <c r="A98" s="43" t="n">
        <v>88</v>
      </c>
      <c r="B98" s="38">
        <f>Inputs!$B$6</f>
        <v/>
      </c>
      <c r="C98" s="38">
        <f>C97*(1+Inputs!$B$18)+Inputs!$B$6</f>
        <v/>
      </c>
      <c r="D98" s="38">
        <f>D97*(1+Inputs!$B$23)+Inputs!$B$6</f>
        <v/>
      </c>
      <c r="E98" s="38">
        <f>E97*(1+Inputs!$B$24)+Inputs!$B$6</f>
        <v/>
      </c>
    </row>
    <row r="99">
      <c r="A99" s="43" t="n">
        <v>89</v>
      </c>
      <c r="B99" s="38">
        <f>Inputs!$B$6</f>
        <v/>
      </c>
      <c r="C99" s="38">
        <f>C98*(1+Inputs!$B$18)+Inputs!$B$6</f>
        <v/>
      </c>
      <c r="D99" s="38">
        <f>D98*(1+Inputs!$B$23)+Inputs!$B$6</f>
        <v/>
      </c>
      <c r="E99" s="38">
        <f>E98*(1+Inputs!$B$24)+Inputs!$B$6</f>
        <v/>
      </c>
    </row>
    <row r="100">
      <c r="A100" s="43" t="n">
        <v>90</v>
      </c>
      <c r="B100" s="38">
        <f>Inputs!$B$6</f>
        <v/>
      </c>
      <c r="C100" s="38">
        <f>C99*(1+Inputs!$B$18)+Inputs!$B$6</f>
        <v/>
      </c>
      <c r="D100" s="38">
        <f>D99*(1+Inputs!$B$23)+Inputs!$B$6</f>
        <v/>
      </c>
      <c r="E100" s="38">
        <f>E99*(1+Inputs!$B$24)+Inputs!$B$6</f>
        <v/>
      </c>
    </row>
    <row r="101">
      <c r="A101" s="43" t="n">
        <v>91</v>
      </c>
      <c r="B101" s="38">
        <f>Inputs!$B$6</f>
        <v/>
      </c>
      <c r="C101" s="38">
        <f>C100*(1+Inputs!$B$18)+Inputs!$B$6</f>
        <v/>
      </c>
      <c r="D101" s="38">
        <f>D100*(1+Inputs!$B$23)+Inputs!$B$6</f>
        <v/>
      </c>
      <c r="E101" s="38">
        <f>E100*(1+Inputs!$B$24)+Inputs!$B$6</f>
        <v/>
      </c>
    </row>
    <row r="102">
      <c r="A102" s="43" t="n">
        <v>92</v>
      </c>
      <c r="B102" s="38">
        <f>Inputs!$B$6</f>
        <v/>
      </c>
      <c r="C102" s="38">
        <f>C101*(1+Inputs!$B$18)+Inputs!$B$6</f>
        <v/>
      </c>
      <c r="D102" s="38">
        <f>D101*(1+Inputs!$B$23)+Inputs!$B$6</f>
        <v/>
      </c>
      <c r="E102" s="38">
        <f>E101*(1+Inputs!$B$24)+Inputs!$B$6</f>
        <v/>
      </c>
    </row>
    <row r="103">
      <c r="A103" s="43" t="n">
        <v>93</v>
      </c>
      <c r="B103" s="38">
        <f>Inputs!$B$6</f>
        <v/>
      </c>
      <c r="C103" s="38">
        <f>C102*(1+Inputs!$B$18)+Inputs!$B$6</f>
        <v/>
      </c>
      <c r="D103" s="38">
        <f>D102*(1+Inputs!$B$23)+Inputs!$B$6</f>
        <v/>
      </c>
      <c r="E103" s="38">
        <f>E102*(1+Inputs!$B$24)+Inputs!$B$6</f>
        <v/>
      </c>
    </row>
    <row r="104">
      <c r="A104" s="43" t="n">
        <v>94</v>
      </c>
      <c r="B104" s="38">
        <f>Inputs!$B$6</f>
        <v/>
      </c>
      <c r="C104" s="38">
        <f>C103*(1+Inputs!$B$18)+Inputs!$B$6</f>
        <v/>
      </c>
      <c r="D104" s="38">
        <f>D103*(1+Inputs!$B$23)+Inputs!$B$6</f>
        <v/>
      </c>
      <c r="E104" s="38">
        <f>E103*(1+Inputs!$B$24)+Inputs!$B$6</f>
        <v/>
      </c>
    </row>
    <row r="105">
      <c r="A105" s="43" t="n">
        <v>95</v>
      </c>
      <c r="B105" s="38">
        <f>Inputs!$B$6</f>
        <v/>
      </c>
      <c r="C105" s="38">
        <f>C104*(1+Inputs!$B$18)+Inputs!$B$6</f>
        <v/>
      </c>
      <c r="D105" s="38">
        <f>D104*(1+Inputs!$B$23)+Inputs!$B$6</f>
        <v/>
      </c>
      <c r="E105" s="38">
        <f>E104*(1+Inputs!$B$24)+Inputs!$B$6</f>
        <v/>
      </c>
    </row>
    <row r="106">
      <c r="A106" s="43" t="n">
        <v>96</v>
      </c>
      <c r="B106" s="38">
        <f>Inputs!$B$6</f>
        <v/>
      </c>
      <c r="C106" s="38">
        <f>C105*(1+Inputs!$B$18)+Inputs!$B$6</f>
        <v/>
      </c>
      <c r="D106" s="38">
        <f>D105*(1+Inputs!$B$23)+Inputs!$B$6</f>
        <v/>
      </c>
      <c r="E106" s="38">
        <f>E105*(1+Inputs!$B$24)+Inputs!$B$6</f>
        <v/>
      </c>
    </row>
    <row r="107">
      <c r="A107" s="43" t="n">
        <v>97</v>
      </c>
      <c r="B107" s="38">
        <f>Inputs!$B$6</f>
        <v/>
      </c>
      <c r="C107" s="38">
        <f>C106*(1+Inputs!$B$18)+Inputs!$B$6</f>
        <v/>
      </c>
      <c r="D107" s="38">
        <f>D106*(1+Inputs!$B$23)+Inputs!$B$6</f>
        <v/>
      </c>
      <c r="E107" s="38">
        <f>E106*(1+Inputs!$B$24)+Inputs!$B$6</f>
        <v/>
      </c>
    </row>
    <row r="108">
      <c r="A108" s="43" t="n">
        <v>98</v>
      </c>
      <c r="B108" s="38">
        <f>Inputs!$B$6</f>
        <v/>
      </c>
      <c r="C108" s="38">
        <f>C107*(1+Inputs!$B$18)+Inputs!$B$6</f>
        <v/>
      </c>
      <c r="D108" s="38">
        <f>D107*(1+Inputs!$B$23)+Inputs!$B$6</f>
        <v/>
      </c>
      <c r="E108" s="38">
        <f>E107*(1+Inputs!$B$24)+Inputs!$B$6</f>
        <v/>
      </c>
    </row>
    <row r="109">
      <c r="A109" s="43" t="n">
        <v>99</v>
      </c>
      <c r="B109" s="38">
        <f>Inputs!$B$6</f>
        <v/>
      </c>
      <c r="C109" s="38">
        <f>C108*(1+Inputs!$B$18)+Inputs!$B$6</f>
        <v/>
      </c>
      <c r="D109" s="38">
        <f>D108*(1+Inputs!$B$23)+Inputs!$B$6</f>
        <v/>
      </c>
      <c r="E109" s="38">
        <f>E108*(1+Inputs!$B$24)+Inputs!$B$6</f>
        <v/>
      </c>
    </row>
    <row r="110">
      <c r="A110" s="43" t="n">
        <v>100</v>
      </c>
      <c r="B110" s="38">
        <f>Inputs!$B$6</f>
        <v/>
      </c>
      <c r="C110" s="38">
        <f>C109*(1+Inputs!$B$18)+Inputs!$B$6</f>
        <v/>
      </c>
      <c r="D110" s="38">
        <f>D109*(1+Inputs!$B$23)+Inputs!$B$6</f>
        <v/>
      </c>
      <c r="E110" s="38">
        <f>E109*(1+Inputs!$B$24)+Inputs!$B$6</f>
        <v/>
      </c>
    </row>
    <row r="111">
      <c r="A111" s="43" t="n">
        <v>101</v>
      </c>
      <c r="B111" s="38">
        <f>Inputs!$B$6</f>
        <v/>
      </c>
      <c r="C111" s="38">
        <f>C110*(1+Inputs!$B$18)+Inputs!$B$6</f>
        <v/>
      </c>
      <c r="D111" s="38">
        <f>D110*(1+Inputs!$B$23)+Inputs!$B$6</f>
        <v/>
      </c>
      <c r="E111" s="38">
        <f>E110*(1+Inputs!$B$24)+Inputs!$B$6</f>
        <v/>
      </c>
    </row>
    <row r="112">
      <c r="A112" s="43" t="n">
        <v>102</v>
      </c>
      <c r="B112" s="38">
        <f>Inputs!$B$6</f>
        <v/>
      </c>
      <c r="C112" s="38">
        <f>C111*(1+Inputs!$B$18)+Inputs!$B$6</f>
        <v/>
      </c>
      <c r="D112" s="38">
        <f>D111*(1+Inputs!$B$23)+Inputs!$B$6</f>
        <v/>
      </c>
      <c r="E112" s="38">
        <f>E111*(1+Inputs!$B$24)+Inputs!$B$6</f>
        <v/>
      </c>
    </row>
    <row r="113">
      <c r="A113" s="43" t="n">
        <v>103</v>
      </c>
      <c r="B113" s="38">
        <f>Inputs!$B$6</f>
        <v/>
      </c>
      <c r="C113" s="38">
        <f>C112*(1+Inputs!$B$18)+Inputs!$B$6</f>
        <v/>
      </c>
      <c r="D113" s="38">
        <f>D112*(1+Inputs!$B$23)+Inputs!$B$6</f>
        <v/>
      </c>
      <c r="E113" s="38">
        <f>E112*(1+Inputs!$B$24)+Inputs!$B$6</f>
        <v/>
      </c>
    </row>
    <row r="114">
      <c r="A114" s="43" t="n">
        <v>104</v>
      </c>
      <c r="B114" s="38">
        <f>Inputs!$B$6</f>
        <v/>
      </c>
      <c r="C114" s="38">
        <f>C113*(1+Inputs!$B$18)+Inputs!$B$6</f>
        <v/>
      </c>
      <c r="D114" s="38">
        <f>D113*(1+Inputs!$B$23)+Inputs!$B$6</f>
        <v/>
      </c>
      <c r="E114" s="38">
        <f>E113*(1+Inputs!$B$24)+Inputs!$B$6</f>
        <v/>
      </c>
    </row>
    <row r="115">
      <c r="A115" s="43" t="n">
        <v>105</v>
      </c>
      <c r="B115" s="38">
        <f>Inputs!$B$6</f>
        <v/>
      </c>
      <c r="C115" s="38">
        <f>C114*(1+Inputs!$B$18)+Inputs!$B$6</f>
        <v/>
      </c>
      <c r="D115" s="38">
        <f>D114*(1+Inputs!$B$23)+Inputs!$B$6</f>
        <v/>
      </c>
      <c r="E115" s="38">
        <f>E114*(1+Inputs!$B$24)+Inputs!$B$6</f>
        <v/>
      </c>
    </row>
    <row r="116">
      <c r="A116" s="43" t="n">
        <v>106</v>
      </c>
      <c r="B116" s="38">
        <f>Inputs!$B$6</f>
        <v/>
      </c>
      <c r="C116" s="38">
        <f>C115*(1+Inputs!$B$18)+Inputs!$B$6</f>
        <v/>
      </c>
      <c r="D116" s="38">
        <f>D115*(1+Inputs!$B$23)+Inputs!$B$6</f>
        <v/>
      </c>
      <c r="E116" s="38">
        <f>E115*(1+Inputs!$B$24)+Inputs!$B$6</f>
        <v/>
      </c>
    </row>
    <row r="117">
      <c r="A117" s="43" t="n">
        <v>107</v>
      </c>
      <c r="B117" s="38">
        <f>Inputs!$B$6</f>
        <v/>
      </c>
      <c r="C117" s="38">
        <f>C116*(1+Inputs!$B$18)+Inputs!$B$6</f>
        <v/>
      </c>
      <c r="D117" s="38">
        <f>D116*(1+Inputs!$B$23)+Inputs!$B$6</f>
        <v/>
      </c>
      <c r="E117" s="38">
        <f>E116*(1+Inputs!$B$24)+Inputs!$B$6</f>
        <v/>
      </c>
    </row>
    <row r="118">
      <c r="A118" s="43" t="n">
        <v>108</v>
      </c>
      <c r="B118" s="38">
        <f>Inputs!$B$6</f>
        <v/>
      </c>
      <c r="C118" s="38">
        <f>C117*(1+Inputs!$B$18)+Inputs!$B$6</f>
        <v/>
      </c>
      <c r="D118" s="38">
        <f>D117*(1+Inputs!$B$23)+Inputs!$B$6</f>
        <v/>
      </c>
      <c r="E118" s="38">
        <f>E117*(1+Inputs!$B$24)+Inputs!$B$6</f>
        <v/>
      </c>
    </row>
    <row r="119">
      <c r="A119" s="43" t="n">
        <v>109</v>
      </c>
      <c r="B119" s="38">
        <f>Inputs!$B$6</f>
        <v/>
      </c>
      <c r="C119" s="38">
        <f>C118*(1+Inputs!$B$18)+Inputs!$B$6</f>
        <v/>
      </c>
      <c r="D119" s="38">
        <f>D118*(1+Inputs!$B$23)+Inputs!$B$6</f>
        <v/>
      </c>
      <c r="E119" s="38">
        <f>E118*(1+Inputs!$B$24)+Inputs!$B$6</f>
        <v/>
      </c>
    </row>
    <row r="120">
      <c r="A120" s="43" t="n">
        <v>110</v>
      </c>
      <c r="B120" s="38">
        <f>Inputs!$B$6</f>
        <v/>
      </c>
      <c r="C120" s="38">
        <f>C119*(1+Inputs!$B$18)+Inputs!$B$6</f>
        <v/>
      </c>
      <c r="D120" s="38">
        <f>D119*(1+Inputs!$B$23)+Inputs!$B$6</f>
        <v/>
      </c>
      <c r="E120" s="38">
        <f>E119*(1+Inputs!$B$24)+Inputs!$B$6</f>
        <v/>
      </c>
    </row>
    <row r="121">
      <c r="A121" s="43" t="n">
        <v>111</v>
      </c>
      <c r="B121" s="38">
        <f>Inputs!$B$6</f>
        <v/>
      </c>
      <c r="C121" s="38">
        <f>C120*(1+Inputs!$B$18)+Inputs!$B$6</f>
        <v/>
      </c>
      <c r="D121" s="38">
        <f>D120*(1+Inputs!$B$23)+Inputs!$B$6</f>
        <v/>
      </c>
      <c r="E121" s="38">
        <f>E120*(1+Inputs!$B$24)+Inputs!$B$6</f>
        <v/>
      </c>
    </row>
    <row r="122">
      <c r="A122" s="43" t="n">
        <v>112</v>
      </c>
      <c r="B122" s="38">
        <f>Inputs!$B$6</f>
        <v/>
      </c>
      <c r="C122" s="38">
        <f>C121*(1+Inputs!$B$18)+Inputs!$B$6</f>
        <v/>
      </c>
      <c r="D122" s="38">
        <f>D121*(1+Inputs!$B$23)+Inputs!$B$6</f>
        <v/>
      </c>
      <c r="E122" s="38">
        <f>E121*(1+Inputs!$B$24)+Inputs!$B$6</f>
        <v/>
      </c>
    </row>
    <row r="123">
      <c r="A123" s="43" t="n">
        <v>113</v>
      </c>
      <c r="B123" s="38">
        <f>Inputs!$B$6</f>
        <v/>
      </c>
      <c r="C123" s="38">
        <f>C122*(1+Inputs!$B$18)+Inputs!$B$6</f>
        <v/>
      </c>
      <c r="D123" s="38">
        <f>D122*(1+Inputs!$B$23)+Inputs!$B$6</f>
        <v/>
      </c>
      <c r="E123" s="38">
        <f>E122*(1+Inputs!$B$24)+Inputs!$B$6</f>
        <v/>
      </c>
    </row>
    <row r="124">
      <c r="A124" s="43" t="n">
        <v>114</v>
      </c>
      <c r="B124" s="38">
        <f>Inputs!$B$6</f>
        <v/>
      </c>
      <c r="C124" s="38">
        <f>C123*(1+Inputs!$B$18)+Inputs!$B$6</f>
        <v/>
      </c>
      <c r="D124" s="38">
        <f>D123*(1+Inputs!$B$23)+Inputs!$B$6</f>
        <v/>
      </c>
      <c r="E124" s="38">
        <f>E123*(1+Inputs!$B$24)+Inputs!$B$6</f>
        <v/>
      </c>
    </row>
    <row r="125">
      <c r="A125" s="43" t="n">
        <v>115</v>
      </c>
      <c r="B125" s="38">
        <f>Inputs!$B$6</f>
        <v/>
      </c>
      <c r="C125" s="38">
        <f>C124*(1+Inputs!$B$18)+Inputs!$B$6</f>
        <v/>
      </c>
      <c r="D125" s="38">
        <f>D124*(1+Inputs!$B$23)+Inputs!$B$6</f>
        <v/>
      </c>
      <c r="E125" s="38">
        <f>E124*(1+Inputs!$B$24)+Inputs!$B$6</f>
        <v/>
      </c>
    </row>
    <row r="126">
      <c r="A126" s="43" t="n">
        <v>116</v>
      </c>
      <c r="B126" s="38">
        <f>Inputs!$B$6</f>
        <v/>
      </c>
      <c r="C126" s="38">
        <f>C125*(1+Inputs!$B$18)+Inputs!$B$6</f>
        <v/>
      </c>
      <c r="D126" s="38">
        <f>D125*(1+Inputs!$B$23)+Inputs!$B$6</f>
        <v/>
      </c>
      <c r="E126" s="38">
        <f>E125*(1+Inputs!$B$24)+Inputs!$B$6</f>
        <v/>
      </c>
    </row>
    <row r="127">
      <c r="A127" s="43" t="n">
        <v>117</v>
      </c>
      <c r="B127" s="38">
        <f>Inputs!$B$6</f>
        <v/>
      </c>
      <c r="C127" s="38">
        <f>C126*(1+Inputs!$B$18)+Inputs!$B$6</f>
        <v/>
      </c>
      <c r="D127" s="38">
        <f>D126*(1+Inputs!$B$23)+Inputs!$B$6</f>
        <v/>
      </c>
      <c r="E127" s="38">
        <f>E126*(1+Inputs!$B$24)+Inputs!$B$6</f>
        <v/>
      </c>
    </row>
    <row r="128">
      <c r="A128" s="43" t="n">
        <v>118</v>
      </c>
      <c r="B128" s="38">
        <f>Inputs!$B$6</f>
        <v/>
      </c>
      <c r="C128" s="38">
        <f>C127*(1+Inputs!$B$18)+Inputs!$B$6</f>
        <v/>
      </c>
      <c r="D128" s="38">
        <f>D127*(1+Inputs!$B$23)+Inputs!$B$6</f>
        <v/>
      </c>
      <c r="E128" s="38">
        <f>E127*(1+Inputs!$B$24)+Inputs!$B$6</f>
        <v/>
      </c>
    </row>
    <row r="129">
      <c r="A129" s="43" t="n">
        <v>119</v>
      </c>
      <c r="B129" s="38">
        <f>Inputs!$B$6</f>
        <v/>
      </c>
      <c r="C129" s="38">
        <f>C128*(1+Inputs!$B$18)+Inputs!$B$6</f>
        <v/>
      </c>
      <c r="D129" s="38">
        <f>D128*(1+Inputs!$B$23)+Inputs!$B$6</f>
        <v/>
      </c>
      <c r="E129" s="38">
        <f>E128*(1+Inputs!$B$24)+Inputs!$B$6</f>
        <v/>
      </c>
    </row>
    <row r="130">
      <c r="A130" s="43" t="n">
        <v>120</v>
      </c>
      <c r="B130" s="38">
        <f>Inputs!$B$6</f>
        <v/>
      </c>
      <c r="C130" s="38">
        <f>C129*(1+Inputs!$B$18)+Inputs!$B$6</f>
        <v/>
      </c>
      <c r="D130" s="38">
        <f>D129*(1+Inputs!$B$23)+Inputs!$B$6</f>
        <v/>
      </c>
      <c r="E130" s="38">
        <f>E129*(1+Inputs!$B$24)+Inputs!$B$6</f>
        <v/>
      </c>
    </row>
    <row r="131">
      <c r="A131" s="43" t="n">
        <v>121</v>
      </c>
      <c r="B131" s="38">
        <f>Inputs!$B$6</f>
        <v/>
      </c>
      <c r="C131" s="38">
        <f>C130*(1+Inputs!$B$18)+Inputs!$B$6</f>
        <v/>
      </c>
      <c r="D131" s="38">
        <f>D130*(1+Inputs!$B$23)+Inputs!$B$6</f>
        <v/>
      </c>
      <c r="E131" s="38">
        <f>E130*(1+Inputs!$B$24)+Inputs!$B$6</f>
        <v/>
      </c>
    </row>
    <row r="132">
      <c r="A132" s="43" t="n">
        <v>122</v>
      </c>
      <c r="B132" s="38">
        <f>Inputs!$B$6</f>
        <v/>
      </c>
      <c r="C132" s="38">
        <f>C131*(1+Inputs!$B$18)+Inputs!$B$6</f>
        <v/>
      </c>
      <c r="D132" s="38">
        <f>D131*(1+Inputs!$B$23)+Inputs!$B$6</f>
        <v/>
      </c>
      <c r="E132" s="38">
        <f>E131*(1+Inputs!$B$24)+Inputs!$B$6</f>
        <v/>
      </c>
    </row>
    <row r="133">
      <c r="A133" s="43" t="n">
        <v>123</v>
      </c>
      <c r="B133" s="38">
        <f>Inputs!$B$6</f>
        <v/>
      </c>
      <c r="C133" s="38">
        <f>C132*(1+Inputs!$B$18)+Inputs!$B$6</f>
        <v/>
      </c>
      <c r="D133" s="38">
        <f>D132*(1+Inputs!$B$23)+Inputs!$B$6</f>
        <v/>
      </c>
      <c r="E133" s="38">
        <f>E132*(1+Inputs!$B$24)+Inputs!$B$6</f>
        <v/>
      </c>
    </row>
    <row r="134">
      <c r="A134" s="43" t="n">
        <v>124</v>
      </c>
      <c r="B134" s="38">
        <f>Inputs!$B$6</f>
        <v/>
      </c>
      <c r="C134" s="38">
        <f>C133*(1+Inputs!$B$18)+Inputs!$B$6</f>
        <v/>
      </c>
      <c r="D134" s="38">
        <f>D133*(1+Inputs!$B$23)+Inputs!$B$6</f>
        <v/>
      </c>
      <c r="E134" s="38">
        <f>E133*(1+Inputs!$B$24)+Inputs!$B$6</f>
        <v/>
      </c>
    </row>
    <row r="135">
      <c r="A135" s="43" t="n">
        <v>125</v>
      </c>
      <c r="B135" s="38">
        <f>Inputs!$B$6</f>
        <v/>
      </c>
      <c r="C135" s="38">
        <f>C134*(1+Inputs!$B$18)+Inputs!$B$6</f>
        <v/>
      </c>
      <c r="D135" s="38">
        <f>D134*(1+Inputs!$B$23)+Inputs!$B$6</f>
        <v/>
      </c>
      <c r="E135" s="38">
        <f>E134*(1+Inputs!$B$24)+Inputs!$B$6</f>
        <v/>
      </c>
    </row>
    <row r="136">
      <c r="A136" s="43" t="n">
        <v>126</v>
      </c>
      <c r="B136" s="38">
        <f>Inputs!$B$6</f>
        <v/>
      </c>
      <c r="C136" s="38">
        <f>C135*(1+Inputs!$B$18)+Inputs!$B$6</f>
        <v/>
      </c>
      <c r="D136" s="38">
        <f>D135*(1+Inputs!$B$23)+Inputs!$B$6</f>
        <v/>
      </c>
      <c r="E136" s="38">
        <f>E135*(1+Inputs!$B$24)+Inputs!$B$6</f>
        <v/>
      </c>
    </row>
    <row r="137">
      <c r="A137" s="43" t="n">
        <v>127</v>
      </c>
      <c r="B137" s="38">
        <f>Inputs!$B$6</f>
        <v/>
      </c>
      <c r="C137" s="38">
        <f>C136*(1+Inputs!$B$18)+Inputs!$B$6</f>
        <v/>
      </c>
      <c r="D137" s="38">
        <f>D136*(1+Inputs!$B$23)+Inputs!$B$6</f>
        <v/>
      </c>
      <c r="E137" s="38">
        <f>E136*(1+Inputs!$B$24)+Inputs!$B$6</f>
        <v/>
      </c>
    </row>
    <row r="138">
      <c r="A138" s="43" t="n">
        <v>128</v>
      </c>
      <c r="B138" s="38">
        <f>Inputs!$B$6</f>
        <v/>
      </c>
      <c r="C138" s="38">
        <f>C137*(1+Inputs!$B$18)+Inputs!$B$6</f>
        <v/>
      </c>
      <c r="D138" s="38">
        <f>D137*(1+Inputs!$B$23)+Inputs!$B$6</f>
        <v/>
      </c>
      <c r="E138" s="38">
        <f>E137*(1+Inputs!$B$24)+Inputs!$B$6</f>
        <v/>
      </c>
    </row>
    <row r="139">
      <c r="A139" s="43" t="n">
        <v>129</v>
      </c>
      <c r="B139" s="38">
        <f>Inputs!$B$6</f>
        <v/>
      </c>
      <c r="C139" s="38">
        <f>C138*(1+Inputs!$B$18)+Inputs!$B$6</f>
        <v/>
      </c>
      <c r="D139" s="38">
        <f>D138*(1+Inputs!$B$23)+Inputs!$B$6</f>
        <v/>
      </c>
      <c r="E139" s="38">
        <f>E138*(1+Inputs!$B$24)+Inputs!$B$6</f>
        <v/>
      </c>
    </row>
    <row r="140">
      <c r="A140" s="43" t="n">
        <v>130</v>
      </c>
      <c r="B140" s="38">
        <f>Inputs!$B$6</f>
        <v/>
      </c>
      <c r="C140" s="38">
        <f>C139*(1+Inputs!$B$18)+Inputs!$B$6</f>
        <v/>
      </c>
      <c r="D140" s="38">
        <f>D139*(1+Inputs!$B$23)+Inputs!$B$6</f>
        <v/>
      </c>
      <c r="E140" s="38">
        <f>E139*(1+Inputs!$B$24)+Inputs!$B$6</f>
        <v/>
      </c>
    </row>
    <row r="141">
      <c r="A141" s="43" t="n">
        <v>131</v>
      </c>
      <c r="B141" s="38">
        <f>Inputs!$B$6</f>
        <v/>
      </c>
      <c r="C141" s="38">
        <f>C140*(1+Inputs!$B$18)+Inputs!$B$6</f>
        <v/>
      </c>
      <c r="D141" s="38">
        <f>D140*(1+Inputs!$B$23)+Inputs!$B$6</f>
        <v/>
      </c>
      <c r="E141" s="38">
        <f>E140*(1+Inputs!$B$24)+Inputs!$B$6</f>
        <v/>
      </c>
    </row>
    <row r="142">
      <c r="A142" s="43" t="n">
        <v>132</v>
      </c>
      <c r="B142" s="38">
        <f>Inputs!$B$6</f>
        <v/>
      </c>
      <c r="C142" s="38">
        <f>C141*(1+Inputs!$B$18)+Inputs!$B$6</f>
        <v/>
      </c>
      <c r="D142" s="38">
        <f>D141*(1+Inputs!$B$23)+Inputs!$B$6</f>
        <v/>
      </c>
      <c r="E142" s="38">
        <f>E141*(1+Inputs!$B$24)+Inputs!$B$6</f>
        <v/>
      </c>
    </row>
    <row r="143">
      <c r="A143" s="43" t="n">
        <v>133</v>
      </c>
      <c r="B143" s="38">
        <f>Inputs!$B$6</f>
        <v/>
      </c>
      <c r="C143" s="38">
        <f>C142*(1+Inputs!$B$18)+Inputs!$B$6</f>
        <v/>
      </c>
      <c r="D143" s="38">
        <f>D142*(1+Inputs!$B$23)+Inputs!$B$6</f>
        <v/>
      </c>
      <c r="E143" s="38">
        <f>E142*(1+Inputs!$B$24)+Inputs!$B$6</f>
        <v/>
      </c>
    </row>
    <row r="144">
      <c r="A144" s="43" t="n">
        <v>134</v>
      </c>
      <c r="B144" s="38">
        <f>Inputs!$B$6</f>
        <v/>
      </c>
      <c r="C144" s="38">
        <f>C143*(1+Inputs!$B$18)+Inputs!$B$6</f>
        <v/>
      </c>
      <c r="D144" s="38">
        <f>D143*(1+Inputs!$B$23)+Inputs!$B$6</f>
        <v/>
      </c>
      <c r="E144" s="38">
        <f>E143*(1+Inputs!$B$24)+Inputs!$B$6</f>
        <v/>
      </c>
    </row>
    <row r="145">
      <c r="A145" s="43" t="n">
        <v>135</v>
      </c>
      <c r="B145" s="38">
        <f>Inputs!$B$6</f>
        <v/>
      </c>
      <c r="C145" s="38">
        <f>C144*(1+Inputs!$B$18)+Inputs!$B$6</f>
        <v/>
      </c>
      <c r="D145" s="38">
        <f>D144*(1+Inputs!$B$23)+Inputs!$B$6</f>
        <v/>
      </c>
      <c r="E145" s="38">
        <f>E144*(1+Inputs!$B$24)+Inputs!$B$6</f>
        <v/>
      </c>
    </row>
    <row r="146">
      <c r="A146" s="43" t="n">
        <v>136</v>
      </c>
      <c r="B146" s="38">
        <f>Inputs!$B$6</f>
        <v/>
      </c>
      <c r="C146" s="38">
        <f>C145*(1+Inputs!$B$18)+Inputs!$B$6</f>
        <v/>
      </c>
      <c r="D146" s="38">
        <f>D145*(1+Inputs!$B$23)+Inputs!$B$6</f>
        <v/>
      </c>
      <c r="E146" s="38">
        <f>E145*(1+Inputs!$B$24)+Inputs!$B$6</f>
        <v/>
      </c>
    </row>
    <row r="147">
      <c r="A147" s="43" t="n">
        <v>137</v>
      </c>
      <c r="B147" s="38">
        <f>Inputs!$B$6</f>
        <v/>
      </c>
      <c r="C147" s="38">
        <f>C146*(1+Inputs!$B$18)+Inputs!$B$6</f>
        <v/>
      </c>
      <c r="D147" s="38">
        <f>D146*(1+Inputs!$B$23)+Inputs!$B$6</f>
        <v/>
      </c>
      <c r="E147" s="38">
        <f>E146*(1+Inputs!$B$24)+Inputs!$B$6</f>
        <v/>
      </c>
    </row>
    <row r="148">
      <c r="A148" s="43" t="n">
        <v>138</v>
      </c>
      <c r="B148" s="38">
        <f>Inputs!$B$6</f>
        <v/>
      </c>
      <c r="C148" s="38">
        <f>C147*(1+Inputs!$B$18)+Inputs!$B$6</f>
        <v/>
      </c>
      <c r="D148" s="38">
        <f>D147*(1+Inputs!$B$23)+Inputs!$B$6</f>
        <v/>
      </c>
      <c r="E148" s="38">
        <f>E147*(1+Inputs!$B$24)+Inputs!$B$6</f>
        <v/>
      </c>
    </row>
    <row r="149">
      <c r="A149" s="43" t="n">
        <v>139</v>
      </c>
      <c r="B149" s="38">
        <f>Inputs!$B$6</f>
        <v/>
      </c>
      <c r="C149" s="38">
        <f>C148*(1+Inputs!$B$18)+Inputs!$B$6</f>
        <v/>
      </c>
      <c r="D149" s="38">
        <f>D148*(1+Inputs!$B$23)+Inputs!$B$6</f>
        <v/>
      </c>
      <c r="E149" s="38">
        <f>E148*(1+Inputs!$B$24)+Inputs!$B$6</f>
        <v/>
      </c>
    </row>
    <row r="150">
      <c r="A150" s="43" t="n">
        <v>140</v>
      </c>
      <c r="B150" s="38">
        <f>Inputs!$B$6</f>
        <v/>
      </c>
      <c r="C150" s="38">
        <f>C149*(1+Inputs!$B$18)+Inputs!$B$6</f>
        <v/>
      </c>
      <c r="D150" s="38">
        <f>D149*(1+Inputs!$B$23)+Inputs!$B$6</f>
        <v/>
      </c>
      <c r="E150" s="38">
        <f>E149*(1+Inputs!$B$24)+Inputs!$B$6</f>
        <v/>
      </c>
    </row>
    <row r="151">
      <c r="A151" s="43" t="n">
        <v>141</v>
      </c>
      <c r="B151" s="38">
        <f>Inputs!$B$6</f>
        <v/>
      </c>
      <c r="C151" s="38">
        <f>C150*(1+Inputs!$B$18)+Inputs!$B$6</f>
        <v/>
      </c>
      <c r="D151" s="38">
        <f>D150*(1+Inputs!$B$23)+Inputs!$B$6</f>
        <v/>
      </c>
      <c r="E151" s="38">
        <f>E150*(1+Inputs!$B$24)+Inputs!$B$6</f>
        <v/>
      </c>
    </row>
    <row r="152">
      <c r="A152" s="43" t="n">
        <v>142</v>
      </c>
      <c r="B152" s="38">
        <f>Inputs!$B$6</f>
        <v/>
      </c>
      <c r="C152" s="38">
        <f>C151*(1+Inputs!$B$18)+Inputs!$B$6</f>
        <v/>
      </c>
      <c r="D152" s="38">
        <f>D151*(1+Inputs!$B$23)+Inputs!$B$6</f>
        <v/>
      </c>
      <c r="E152" s="38">
        <f>E151*(1+Inputs!$B$24)+Inputs!$B$6</f>
        <v/>
      </c>
    </row>
    <row r="153">
      <c r="A153" s="43" t="n">
        <v>143</v>
      </c>
      <c r="B153" s="38">
        <f>Inputs!$B$6</f>
        <v/>
      </c>
      <c r="C153" s="38">
        <f>C152*(1+Inputs!$B$18)+Inputs!$B$6</f>
        <v/>
      </c>
      <c r="D153" s="38">
        <f>D152*(1+Inputs!$B$23)+Inputs!$B$6</f>
        <v/>
      </c>
      <c r="E153" s="38">
        <f>E152*(1+Inputs!$B$24)+Inputs!$B$6</f>
        <v/>
      </c>
    </row>
    <row r="154">
      <c r="A154" s="43" t="n">
        <v>144</v>
      </c>
      <c r="B154" s="38">
        <f>Inputs!$B$6</f>
        <v/>
      </c>
      <c r="C154" s="38">
        <f>C153*(1+Inputs!$B$18)+Inputs!$B$6</f>
        <v/>
      </c>
      <c r="D154" s="38">
        <f>D153*(1+Inputs!$B$23)+Inputs!$B$6</f>
        <v/>
      </c>
      <c r="E154" s="38">
        <f>E153*(1+Inputs!$B$24)+Inputs!$B$6</f>
        <v/>
      </c>
    </row>
    <row r="155">
      <c r="A155" s="43" t="n">
        <v>145</v>
      </c>
      <c r="B155" s="38">
        <f>Inputs!$B$6</f>
        <v/>
      </c>
      <c r="C155" s="38">
        <f>C154*(1+Inputs!$B$18)+Inputs!$B$6</f>
        <v/>
      </c>
      <c r="D155" s="38">
        <f>D154*(1+Inputs!$B$23)+Inputs!$B$6</f>
        <v/>
      </c>
      <c r="E155" s="38">
        <f>E154*(1+Inputs!$B$24)+Inputs!$B$6</f>
        <v/>
      </c>
    </row>
    <row r="156">
      <c r="A156" s="43" t="n">
        <v>146</v>
      </c>
      <c r="B156" s="38">
        <f>Inputs!$B$6</f>
        <v/>
      </c>
      <c r="C156" s="38">
        <f>C155*(1+Inputs!$B$18)+Inputs!$B$6</f>
        <v/>
      </c>
      <c r="D156" s="38">
        <f>D155*(1+Inputs!$B$23)+Inputs!$B$6</f>
        <v/>
      </c>
      <c r="E156" s="38">
        <f>E155*(1+Inputs!$B$24)+Inputs!$B$6</f>
        <v/>
      </c>
    </row>
    <row r="157">
      <c r="A157" s="43" t="n">
        <v>147</v>
      </c>
      <c r="B157" s="38">
        <f>Inputs!$B$6</f>
        <v/>
      </c>
      <c r="C157" s="38">
        <f>C156*(1+Inputs!$B$18)+Inputs!$B$6</f>
        <v/>
      </c>
      <c r="D157" s="38">
        <f>D156*(1+Inputs!$B$23)+Inputs!$B$6</f>
        <v/>
      </c>
      <c r="E157" s="38">
        <f>E156*(1+Inputs!$B$24)+Inputs!$B$6</f>
        <v/>
      </c>
    </row>
    <row r="158">
      <c r="A158" s="43" t="n">
        <v>148</v>
      </c>
      <c r="B158" s="38">
        <f>Inputs!$B$6</f>
        <v/>
      </c>
      <c r="C158" s="38">
        <f>C157*(1+Inputs!$B$18)+Inputs!$B$6</f>
        <v/>
      </c>
      <c r="D158" s="38">
        <f>D157*(1+Inputs!$B$23)+Inputs!$B$6</f>
        <v/>
      </c>
      <c r="E158" s="38">
        <f>E157*(1+Inputs!$B$24)+Inputs!$B$6</f>
        <v/>
      </c>
    </row>
    <row r="159">
      <c r="A159" s="43" t="n">
        <v>149</v>
      </c>
      <c r="B159" s="38">
        <f>Inputs!$B$6</f>
        <v/>
      </c>
      <c r="C159" s="38">
        <f>C158*(1+Inputs!$B$18)+Inputs!$B$6</f>
        <v/>
      </c>
      <c r="D159" s="38">
        <f>D158*(1+Inputs!$B$23)+Inputs!$B$6</f>
        <v/>
      </c>
      <c r="E159" s="38">
        <f>E158*(1+Inputs!$B$24)+Inputs!$B$6</f>
        <v/>
      </c>
    </row>
    <row r="160">
      <c r="A160" s="43" t="n">
        <v>150</v>
      </c>
      <c r="B160" s="38">
        <f>Inputs!$B$6</f>
        <v/>
      </c>
      <c r="C160" s="38">
        <f>C159*(1+Inputs!$B$18)+Inputs!$B$6</f>
        <v/>
      </c>
      <c r="D160" s="38">
        <f>D159*(1+Inputs!$B$23)+Inputs!$B$6</f>
        <v/>
      </c>
      <c r="E160" s="38">
        <f>E159*(1+Inputs!$B$24)+Inputs!$B$6</f>
        <v/>
      </c>
    </row>
    <row r="161">
      <c r="A161" s="43" t="n">
        <v>151</v>
      </c>
      <c r="B161" s="38">
        <f>Inputs!$B$6</f>
        <v/>
      </c>
      <c r="C161" s="38">
        <f>C160*(1+Inputs!$B$18)+Inputs!$B$6</f>
        <v/>
      </c>
      <c r="D161" s="38">
        <f>D160*(1+Inputs!$B$23)+Inputs!$B$6</f>
        <v/>
      </c>
      <c r="E161" s="38">
        <f>E160*(1+Inputs!$B$24)+Inputs!$B$6</f>
        <v/>
      </c>
    </row>
    <row r="162">
      <c r="A162" s="43" t="n">
        <v>152</v>
      </c>
      <c r="B162" s="38">
        <f>Inputs!$B$6</f>
        <v/>
      </c>
      <c r="C162" s="38">
        <f>C161*(1+Inputs!$B$18)+Inputs!$B$6</f>
        <v/>
      </c>
      <c r="D162" s="38">
        <f>D161*(1+Inputs!$B$23)+Inputs!$B$6</f>
        <v/>
      </c>
      <c r="E162" s="38">
        <f>E161*(1+Inputs!$B$24)+Inputs!$B$6</f>
        <v/>
      </c>
    </row>
    <row r="163">
      <c r="A163" s="43" t="n">
        <v>153</v>
      </c>
      <c r="B163" s="38">
        <f>Inputs!$B$6</f>
        <v/>
      </c>
      <c r="C163" s="38">
        <f>C162*(1+Inputs!$B$18)+Inputs!$B$6</f>
        <v/>
      </c>
      <c r="D163" s="38">
        <f>D162*(1+Inputs!$B$23)+Inputs!$B$6</f>
        <v/>
      </c>
      <c r="E163" s="38">
        <f>E162*(1+Inputs!$B$24)+Inputs!$B$6</f>
        <v/>
      </c>
    </row>
    <row r="164">
      <c r="A164" s="43" t="n">
        <v>154</v>
      </c>
      <c r="B164" s="38">
        <f>Inputs!$B$6</f>
        <v/>
      </c>
      <c r="C164" s="38">
        <f>C163*(1+Inputs!$B$18)+Inputs!$B$6</f>
        <v/>
      </c>
      <c r="D164" s="38">
        <f>D163*(1+Inputs!$B$23)+Inputs!$B$6</f>
        <v/>
      </c>
      <c r="E164" s="38">
        <f>E163*(1+Inputs!$B$24)+Inputs!$B$6</f>
        <v/>
      </c>
    </row>
    <row r="165">
      <c r="A165" s="43" t="n">
        <v>155</v>
      </c>
      <c r="B165" s="38">
        <f>Inputs!$B$6</f>
        <v/>
      </c>
      <c r="C165" s="38">
        <f>C164*(1+Inputs!$B$18)+Inputs!$B$6</f>
        <v/>
      </c>
      <c r="D165" s="38">
        <f>D164*(1+Inputs!$B$23)+Inputs!$B$6</f>
        <v/>
      </c>
      <c r="E165" s="38">
        <f>E164*(1+Inputs!$B$24)+Inputs!$B$6</f>
        <v/>
      </c>
    </row>
    <row r="166">
      <c r="A166" s="43" t="n">
        <v>156</v>
      </c>
      <c r="B166" s="38">
        <f>Inputs!$B$6</f>
        <v/>
      </c>
      <c r="C166" s="38">
        <f>C165*(1+Inputs!$B$18)+Inputs!$B$6</f>
        <v/>
      </c>
      <c r="D166" s="38">
        <f>D165*(1+Inputs!$B$23)+Inputs!$B$6</f>
        <v/>
      </c>
      <c r="E166" s="38">
        <f>E165*(1+Inputs!$B$24)+Inputs!$B$6</f>
        <v/>
      </c>
    </row>
    <row r="167">
      <c r="A167" s="43" t="n">
        <v>157</v>
      </c>
      <c r="B167" s="38">
        <f>Inputs!$B$6</f>
        <v/>
      </c>
      <c r="C167" s="38">
        <f>C166*(1+Inputs!$B$18)+Inputs!$B$6</f>
        <v/>
      </c>
      <c r="D167" s="38">
        <f>D166*(1+Inputs!$B$23)+Inputs!$B$6</f>
        <v/>
      </c>
      <c r="E167" s="38">
        <f>E166*(1+Inputs!$B$24)+Inputs!$B$6</f>
        <v/>
      </c>
    </row>
    <row r="168">
      <c r="A168" s="43" t="n">
        <v>158</v>
      </c>
      <c r="B168" s="38">
        <f>Inputs!$B$6</f>
        <v/>
      </c>
      <c r="C168" s="38">
        <f>C167*(1+Inputs!$B$18)+Inputs!$B$6</f>
        <v/>
      </c>
      <c r="D168" s="38">
        <f>D167*(1+Inputs!$B$23)+Inputs!$B$6</f>
        <v/>
      </c>
      <c r="E168" s="38">
        <f>E167*(1+Inputs!$B$24)+Inputs!$B$6</f>
        <v/>
      </c>
    </row>
    <row r="169">
      <c r="A169" s="43" t="n">
        <v>159</v>
      </c>
      <c r="B169" s="38">
        <f>Inputs!$B$6</f>
        <v/>
      </c>
      <c r="C169" s="38">
        <f>C168*(1+Inputs!$B$18)+Inputs!$B$6</f>
        <v/>
      </c>
      <c r="D169" s="38">
        <f>D168*(1+Inputs!$B$23)+Inputs!$B$6</f>
        <v/>
      </c>
      <c r="E169" s="38">
        <f>E168*(1+Inputs!$B$24)+Inputs!$B$6</f>
        <v/>
      </c>
    </row>
    <row r="170">
      <c r="A170" s="43" t="n">
        <v>160</v>
      </c>
      <c r="B170" s="38">
        <f>Inputs!$B$6</f>
        <v/>
      </c>
      <c r="C170" s="38">
        <f>C169*(1+Inputs!$B$18)+Inputs!$B$6</f>
        <v/>
      </c>
      <c r="D170" s="38">
        <f>D169*(1+Inputs!$B$23)+Inputs!$B$6</f>
        <v/>
      </c>
      <c r="E170" s="38">
        <f>E169*(1+Inputs!$B$24)+Inputs!$B$6</f>
        <v/>
      </c>
    </row>
    <row r="171">
      <c r="A171" s="43" t="n">
        <v>161</v>
      </c>
      <c r="B171" s="38">
        <f>Inputs!$B$6</f>
        <v/>
      </c>
      <c r="C171" s="38">
        <f>C170*(1+Inputs!$B$18)+Inputs!$B$6</f>
        <v/>
      </c>
      <c r="D171" s="38">
        <f>D170*(1+Inputs!$B$23)+Inputs!$B$6</f>
        <v/>
      </c>
      <c r="E171" s="38">
        <f>E170*(1+Inputs!$B$24)+Inputs!$B$6</f>
        <v/>
      </c>
    </row>
    <row r="172">
      <c r="A172" s="43" t="n">
        <v>162</v>
      </c>
      <c r="B172" s="38">
        <f>Inputs!$B$6</f>
        <v/>
      </c>
      <c r="C172" s="38">
        <f>C171*(1+Inputs!$B$18)+Inputs!$B$6</f>
        <v/>
      </c>
      <c r="D172" s="38">
        <f>D171*(1+Inputs!$B$23)+Inputs!$B$6</f>
        <v/>
      </c>
      <c r="E172" s="38">
        <f>E171*(1+Inputs!$B$24)+Inputs!$B$6</f>
        <v/>
      </c>
    </row>
    <row r="173">
      <c r="A173" s="43" t="n">
        <v>163</v>
      </c>
      <c r="B173" s="38">
        <f>Inputs!$B$6</f>
        <v/>
      </c>
      <c r="C173" s="38">
        <f>C172*(1+Inputs!$B$18)+Inputs!$B$6</f>
        <v/>
      </c>
      <c r="D173" s="38">
        <f>D172*(1+Inputs!$B$23)+Inputs!$B$6</f>
        <v/>
      </c>
      <c r="E173" s="38">
        <f>E172*(1+Inputs!$B$24)+Inputs!$B$6</f>
        <v/>
      </c>
    </row>
    <row r="174">
      <c r="A174" s="43" t="n">
        <v>164</v>
      </c>
      <c r="B174" s="38">
        <f>Inputs!$B$6</f>
        <v/>
      </c>
      <c r="C174" s="38">
        <f>C173*(1+Inputs!$B$18)+Inputs!$B$6</f>
        <v/>
      </c>
      <c r="D174" s="38">
        <f>D173*(1+Inputs!$B$23)+Inputs!$B$6</f>
        <v/>
      </c>
      <c r="E174" s="38">
        <f>E173*(1+Inputs!$B$24)+Inputs!$B$6</f>
        <v/>
      </c>
    </row>
    <row r="175">
      <c r="A175" s="43" t="n">
        <v>165</v>
      </c>
      <c r="B175" s="38">
        <f>Inputs!$B$6</f>
        <v/>
      </c>
      <c r="C175" s="38">
        <f>C174*(1+Inputs!$B$18)+Inputs!$B$6</f>
        <v/>
      </c>
      <c r="D175" s="38">
        <f>D174*(1+Inputs!$B$23)+Inputs!$B$6</f>
        <v/>
      </c>
      <c r="E175" s="38">
        <f>E174*(1+Inputs!$B$24)+Inputs!$B$6</f>
        <v/>
      </c>
    </row>
    <row r="176">
      <c r="A176" s="43" t="n">
        <v>166</v>
      </c>
      <c r="B176" s="38">
        <f>Inputs!$B$6</f>
        <v/>
      </c>
      <c r="C176" s="38">
        <f>C175*(1+Inputs!$B$18)+Inputs!$B$6</f>
        <v/>
      </c>
      <c r="D176" s="38">
        <f>D175*(1+Inputs!$B$23)+Inputs!$B$6</f>
        <v/>
      </c>
      <c r="E176" s="38">
        <f>E175*(1+Inputs!$B$24)+Inputs!$B$6</f>
        <v/>
      </c>
    </row>
    <row r="177">
      <c r="A177" s="43" t="n">
        <v>167</v>
      </c>
      <c r="B177" s="38">
        <f>Inputs!$B$6</f>
        <v/>
      </c>
      <c r="C177" s="38">
        <f>C176*(1+Inputs!$B$18)+Inputs!$B$6</f>
        <v/>
      </c>
      <c r="D177" s="38">
        <f>D176*(1+Inputs!$B$23)+Inputs!$B$6</f>
        <v/>
      </c>
      <c r="E177" s="38">
        <f>E176*(1+Inputs!$B$24)+Inputs!$B$6</f>
        <v/>
      </c>
    </row>
    <row r="178">
      <c r="A178" s="43" t="n">
        <v>168</v>
      </c>
      <c r="B178" s="38">
        <f>Inputs!$B$6</f>
        <v/>
      </c>
      <c r="C178" s="38">
        <f>C177*(1+Inputs!$B$18)+Inputs!$B$6</f>
        <v/>
      </c>
      <c r="D178" s="38">
        <f>D177*(1+Inputs!$B$23)+Inputs!$B$6</f>
        <v/>
      </c>
      <c r="E178" s="38">
        <f>E177*(1+Inputs!$B$24)+Inputs!$B$6</f>
        <v/>
      </c>
    </row>
    <row r="179">
      <c r="A179" s="43" t="n">
        <v>169</v>
      </c>
      <c r="B179" s="38">
        <f>Inputs!$B$6</f>
        <v/>
      </c>
      <c r="C179" s="38">
        <f>C178*(1+Inputs!$B$18)+Inputs!$B$6</f>
        <v/>
      </c>
      <c r="D179" s="38">
        <f>D178*(1+Inputs!$B$23)+Inputs!$B$6</f>
        <v/>
      </c>
      <c r="E179" s="38">
        <f>E178*(1+Inputs!$B$24)+Inputs!$B$6</f>
        <v/>
      </c>
    </row>
    <row r="180">
      <c r="A180" s="43" t="n">
        <v>170</v>
      </c>
      <c r="B180" s="38">
        <f>Inputs!$B$6</f>
        <v/>
      </c>
      <c r="C180" s="38">
        <f>C179*(1+Inputs!$B$18)+Inputs!$B$6</f>
        <v/>
      </c>
      <c r="D180" s="38">
        <f>D179*(1+Inputs!$B$23)+Inputs!$B$6</f>
        <v/>
      </c>
      <c r="E180" s="38">
        <f>E179*(1+Inputs!$B$24)+Inputs!$B$6</f>
        <v/>
      </c>
    </row>
    <row r="181">
      <c r="A181" s="43" t="n">
        <v>171</v>
      </c>
      <c r="B181" s="38">
        <f>Inputs!$B$6</f>
        <v/>
      </c>
      <c r="C181" s="38">
        <f>C180*(1+Inputs!$B$18)+Inputs!$B$6</f>
        <v/>
      </c>
      <c r="D181" s="38">
        <f>D180*(1+Inputs!$B$23)+Inputs!$B$6</f>
        <v/>
      </c>
      <c r="E181" s="38">
        <f>E180*(1+Inputs!$B$24)+Inputs!$B$6</f>
        <v/>
      </c>
    </row>
    <row r="182">
      <c r="A182" s="43" t="n">
        <v>172</v>
      </c>
      <c r="B182" s="38">
        <f>Inputs!$B$6</f>
        <v/>
      </c>
      <c r="C182" s="38">
        <f>C181*(1+Inputs!$B$18)+Inputs!$B$6</f>
        <v/>
      </c>
      <c r="D182" s="38">
        <f>D181*(1+Inputs!$B$23)+Inputs!$B$6</f>
        <v/>
      </c>
      <c r="E182" s="38">
        <f>E181*(1+Inputs!$B$24)+Inputs!$B$6</f>
        <v/>
      </c>
    </row>
    <row r="183">
      <c r="A183" s="43" t="n">
        <v>173</v>
      </c>
      <c r="B183" s="38">
        <f>Inputs!$B$6</f>
        <v/>
      </c>
      <c r="C183" s="38">
        <f>C182*(1+Inputs!$B$18)+Inputs!$B$6</f>
        <v/>
      </c>
      <c r="D183" s="38">
        <f>D182*(1+Inputs!$B$23)+Inputs!$B$6</f>
        <v/>
      </c>
      <c r="E183" s="38">
        <f>E182*(1+Inputs!$B$24)+Inputs!$B$6</f>
        <v/>
      </c>
    </row>
    <row r="184">
      <c r="A184" s="43" t="n">
        <v>174</v>
      </c>
      <c r="B184" s="38">
        <f>Inputs!$B$6</f>
        <v/>
      </c>
      <c r="C184" s="38">
        <f>C183*(1+Inputs!$B$18)+Inputs!$B$6</f>
        <v/>
      </c>
      <c r="D184" s="38">
        <f>D183*(1+Inputs!$B$23)+Inputs!$B$6</f>
        <v/>
      </c>
      <c r="E184" s="38">
        <f>E183*(1+Inputs!$B$24)+Inputs!$B$6</f>
        <v/>
      </c>
    </row>
    <row r="185">
      <c r="A185" s="43" t="n">
        <v>175</v>
      </c>
      <c r="B185" s="38">
        <f>Inputs!$B$6</f>
        <v/>
      </c>
      <c r="C185" s="38">
        <f>C184*(1+Inputs!$B$18)+Inputs!$B$6</f>
        <v/>
      </c>
      <c r="D185" s="38">
        <f>D184*(1+Inputs!$B$23)+Inputs!$B$6</f>
        <v/>
      </c>
      <c r="E185" s="38">
        <f>E184*(1+Inputs!$B$24)+Inputs!$B$6</f>
        <v/>
      </c>
    </row>
    <row r="186">
      <c r="A186" s="43" t="n">
        <v>176</v>
      </c>
      <c r="B186" s="38">
        <f>Inputs!$B$6</f>
        <v/>
      </c>
      <c r="C186" s="38">
        <f>C185*(1+Inputs!$B$18)+Inputs!$B$6</f>
        <v/>
      </c>
      <c r="D186" s="38">
        <f>D185*(1+Inputs!$B$23)+Inputs!$B$6</f>
        <v/>
      </c>
      <c r="E186" s="38">
        <f>E185*(1+Inputs!$B$24)+Inputs!$B$6</f>
        <v/>
      </c>
    </row>
    <row r="187">
      <c r="A187" s="43" t="n">
        <v>177</v>
      </c>
      <c r="B187" s="38">
        <f>Inputs!$B$6</f>
        <v/>
      </c>
      <c r="C187" s="38">
        <f>C186*(1+Inputs!$B$18)+Inputs!$B$6</f>
        <v/>
      </c>
      <c r="D187" s="38">
        <f>D186*(1+Inputs!$B$23)+Inputs!$B$6</f>
        <v/>
      </c>
      <c r="E187" s="38">
        <f>E186*(1+Inputs!$B$24)+Inputs!$B$6</f>
        <v/>
      </c>
    </row>
    <row r="188">
      <c r="A188" s="43" t="n">
        <v>178</v>
      </c>
      <c r="B188" s="38">
        <f>Inputs!$B$6</f>
        <v/>
      </c>
      <c r="C188" s="38">
        <f>C187*(1+Inputs!$B$18)+Inputs!$B$6</f>
        <v/>
      </c>
      <c r="D188" s="38">
        <f>D187*(1+Inputs!$B$23)+Inputs!$B$6</f>
        <v/>
      </c>
      <c r="E188" s="38">
        <f>E187*(1+Inputs!$B$24)+Inputs!$B$6</f>
        <v/>
      </c>
    </row>
    <row r="189">
      <c r="A189" s="43" t="n">
        <v>179</v>
      </c>
      <c r="B189" s="38">
        <f>Inputs!$B$6</f>
        <v/>
      </c>
      <c r="C189" s="38">
        <f>C188*(1+Inputs!$B$18)+Inputs!$B$6</f>
        <v/>
      </c>
      <c r="D189" s="38">
        <f>D188*(1+Inputs!$B$23)+Inputs!$B$6</f>
        <v/>
      </c>
      <c r="E189" s="38">
        <f>E188*(1+Inputs!$B$24)+Inputs!$B$6</f>
        <v/>
      </c>
    </row>
    <row r="190">
      <c r="A190" s="43" t="n">
        <v>180</v>
      </c>
      <c r="B190" s="38">
        <f>Inputs!$B$6</f>
        <v/>
      </c>
      <c r="C190" s="38">
        <f>C189*(1+Inputs!$B$18)+Inputs!$B$6</f>
        <v/>
      </c>
      <c r="D190" s="38">
        <f>D189*(1+Inputs!$B$23)+Inputs!$B$6</f>
        <v/>
      </c>
      <c r="E190" s="38">
        <f>E189*(1+Inputs!$B$24)+Inputs!$B$6</f>
        <v/>
      </c>
    </row>
    <row r="191">
      <c r="A191" s="43" t="n">
        <v>181</v>
      </c>
      <c r="B191" s="38">
        <f>Inputs!$B$6</f>
        <v/>
      </c>
      <c r="C191" s="38">
        <f>C190*(1+Inputs!$B$18)+Inputs!$B$6</f>
        <v/>
      </c>
      <c r="D191" s="38">
        <f>D190*(1+Inputs!$B$23)+Inputs!$B$6</f>
        <v/>
      </c>
      <c r="E191" s="38">
        <f>E190*(1+Inputs!$B$24)+Inputs!$B$6</f>
        <v/>
      </c>
    </row>
    <row r="192">
      <c r="A192" s="43" t="n">
        <v>182</v>
      </c>
      <c r="B192" s="38">
        <f>Inputs!$B$6</f>
        <v/>
      </c>
      <c r="C192" s="38">
        <f>C191*(1+Inputs!$B$18)+Inputs!$B$6</f>
        <v/>
      </c>
      <c r="D192" s="38">
        <f>D191*(1+Inputs!$B$23)+Inputs!$B$6</f>
        <v/>
      </c>
      <c r="E192" s="38">
        <f>E191*(1+Inputs!$B$24)+Inputs!$B$6</f>
        <v/>
      </c>
    </row>
    <row r="193">
      <c r="A193" s="43" t="n">
        <v>183</v>
      </c>
      <c r="B193" s="38">
        <f>Inputs!$B$6</f>
        <v/>
      </c>
      <c r="C193" s="38">
        <f>C192*(1+Inputs!$B$18)+Inputs!$B$6</f>
        <v/>
      </c>
      <c r="D193" s="38">
        <f>D192*(1+Inputs!$B$23)+Inputs!$B$6</f>
        <v/>
      </c>
      <c r="E193" s="38">
        <f>E192*(1+Inputs!$B$24)+Inputs!$B$6</f>
        <v/>
      </c>
    </row>
    <row r="194">
      <c r="A194" s="43" t="n">
        <v>184</v>
      </c>
      <c r="B194" s="38">
        <f>Inputs!$B$6</f>
        <v/>
      </c>
      <c r="C194" s="38">
        <f>C193*(1+Inputs!$B$18)+Inputs!$B$6</f>
        <v/>
      </c>
      <c r="D194" s="38">
        <f>D193*(1+Inputs!$B$23)+Inputs!$B$6</f>
        <v/>
      </c>
      <c r="E194" s="38">
        <f>E193*(1+Inputs!$B$24)+Inputs!$B$6</f>
        <v/>
      </c>
    </row>
    <row r="195">
      <c r="A195" s="43" t="n">
        <v>185</v>
      </c>
      <c r="B195" s="38">
        <f>Inputs!$B$6</f>
        <v/>
      </c>
      <c r="C195" s="38">
        <f>C194*(1+Inputs!$B$18)+Inputs!$B$6</f>
        <v/>
      </c>
      <c r="D195" s="38">
        <f>D194*(1+Inputs!$B$23)+Inputs!$B$6</f>
        <v/>
      </c>
      <c r="E195" s="38">
        <f>E194*(1+Inputs!$B$24)+Inputs!$B$6</f>
        <v/>
      </c>
    </row>
    <row r="196">
      <c r="A196" s="43" t="n">
        <v>186</v>
      </c>
      <c r="B196" s="38">
        <f>Inputs!$B$6</f>
        <v/>
      </c>
      <c r="C196" s="38">
        <f>C195*(1+Inputs!$B$18)+Inputs!$B$6</f>
        <v/>
      </c>
      <c r="D196" s="38">
        <f>D195*(1+Inputs!$B$23)+Inputs!$B$6</f>
        <v/>
      </c>
      <c r="E196" s="38">
        <f>E195*(1+Inputs!$B$24)+Inputs!$B$6</f>
        <v/>
      </c>
    </row>
    <row r="197">
      <c r="A197" s="43" t="n">
        <v>187</v>
      </c>
      <c r="B197" s="38">
        <f>Inputs!$B$6</f>
        <v/>
      </c>
      <c r="C197" s="38">
        <f>C196*(1+Inputs!$B$18)+Inputs!$B$6</f>
        <v/>
      </c>
      <c r="D197" s="38">
        <f>D196*(1+Inputs!$B$23)+Inputs!$B$6</f>
        <v/>
      </c>
      <c r="E197" s="38">
        <f>E196*(1+Inputs!$B$24)+Inputs!$B$6</f>
        <v/>
      </c>
    </row>
    <row r="198">
      <c r="A198" s="43" t="n">
        <v>188</v>
      </c>
      <c r="B198" s="38">
        <f>Inputs!$B$6</f>
        <v/>
      </c>
      <c r="C198" s="38">
        <f>C197*(1+Inputs!$B$18)+Inputs!$B$6</f>
        <v/>
      </c>
      <c r="D198" s="38">
        <f>D197*(1+Inputs!$B$23)+Inputs!$B$6</f>
        <v/>
      </c>
      <c r="E198" s="38">
        <f>E197*(1+Inputs!$B$24)+Inputs!$B$6</f>
        <v/>
      </c>
    </row>
    <row r="199">
      <c r="A199" s="43" t="n">
        <v>189</v>
      </c>
      <c r="B199" s="38">
        <f>Inputs!$B$6</f>
        <v/>
      </c>
      <c r="C199" s="38">
        <f>C198*(1+Inputs!$B$18)+Inputs!$B$6</f>
        <v/>
      </c>
      <c r="D199" s="38">
        <f>D198*(1+Inputs!$B$23)+Inputs!$B$6</f>
        <v/>
      </c>
      <c r="E199" s="38">
        <f>E198*(1+Inputs!$B$24)+Inputs!$B$6</f>
        <v/>
      </c>
    </row>
    <row r="200">
      <c r="A200" s="43" t="n">
        <v>190</v>
      </c>
      <c r="B200" s="38">
        <f>Inputs!$B$6</f>
        <v/>
      </c>
      <c r="C200" s="38">
        <f>C199*(1+Inputs!$B$18)+Inputs!$B$6</f>
        <v/>
      </c>
      <c r="D200" s="38">
        <f>D199*(1+Inputs!$B$23)+Inputs!$B$6</f>
        <v/>
      </c>
      <c r="E200" s="38">
        <f>E199*(1+Inputs!$B$24)+Inputs!$B$6</f>
        <v/>
      </c>
    </row>
    <row r="201">
      <c r="A201" s="43" t="n">
        <v>191</v>
      </c>
      <c r="B201" s="38">
        <f>Inputs!$B$6</f>
        <v/>
      </c>
      <c r="C201" s="38">
        <f>C200*(1+Inputs!$B$18)+Inputs!$B$6</f>
        <v/>
      </c>
      <c r="D201" s="38">
        <f>D200*(1+Inputs!$B$23)+Inputs!$B$6</f>
        <v/>
      </c>
      <c r="E201" s="38">
        <f>E200*(1+Inputs!$B$24)+Inputs!$B$6</f>
        <v/>
      </c>
    </row>
    <row r="202">
      <c r="A202" s="43" t="n">
        <v>192</v>
      </c>
      <c r="B202" s="38">
        <f>Inputs!$B$6</f>
        <v/>
      </c>
      <c r="C202" s="38">
        <f>C201*(1+Inputs!$B$18)+Inputs!$B$6</f>
        <v/>
      </c>
      <c r="D202" s="38">
        <f>D201*(1+Inputs!$B$23)+Inputs!$B$6</f>
        <v/>
      </c>
      <c r="E202" s="38">
        <f>E201*(1+Inputs!$B$24)+Inputs!$B$6</f>
        <v/>
      </c>
    </row>
    <row r="203">
      <c r="A203" s="43" t="n">
        <v>193</v>
      </c>
      <c r="B203" s="38">
        <f>Inputs!$B$6</f>
        <v/>
      </c>
      <c r="C203" s="38">
        <f>C202*(1+Inputs!$B$18)+Inputs!$B$6</f>
        <v/>
      </c>
      <c r="D203" s="38">
        <f>D202*(1+Inputs!$B$23)+Inputs!$B$6</f>
        <v/>
      </c>
      <c r="E203" s="38">
        <f>E202*(1+Inputs!$B$24)+Inputs!$B$6</f>
        <v/>
      </c>
    </row>
    <row r="204">
      <c r="A204" s="43" t="n">
        <v>194</v>
      </c>
      <c r="B204" s="38">
        <f>Inputs!$B$6</f>
        <v/>
      </c>
      <c r="C204" s="38">
        <f>C203*(1+Inputs!$B$18)+Inputs!$B$6</f>
        <v/>
      </c>
      <c r="D204" s="38">
        <f>D203*(1+Inputs!$B$23)+Inputs!$B$6</f>
        <v/>
      </c>
      <c r="E204" s="38">
        <f>E203*(1+Inputs!$B$24)+Inputs!$B$6</f>
        <v/>
      </c>
    </row>
    <row r="205">
      <c r="A205" s="43" t="n">
        <v>195</v>
      </c>
      <c r="B205" s="38">
        <f>Inputs!$B$6</f>
        <v/>
      </c>
      <c r="C205" s="38">
        <f>C204*(1+Inputs!$B$18)+Inputs!$B$6</f>
        <v/>
      </c>
      <c r="D205" s="38">
        <f>D204*(1+Inputs!$B$23)+Inputs!$B$6</f>
        <v/>
      </c>
      <c r="E205" s="38">
        <f>E204*(1+Inputs!$B$24)+Inputs!$B$6</f>
        <v/>
      </c>
    </row>
    <row r="206">
      <c r="A206" s="43" t="n">
        <v>196</v>
      </c>
      <c r="B206" s="38">
        <f>Inputs!$B$6</f>
        <v/>
      </c>
      <c r="C206" s="38">
        <f>C205*(1+Inputs!$B$18)+Inputs!$B$6</f>
        <v/>
      </c>
      <c r="D206" s="38">
        <f>D205*(1+Inputs!$B$23)+Inputs!$B$6</f>
        <v/>
      </c>
      <c r="E206" s="38">
        <f>E205*(1+Inputs!$B$24)+Inputs!$B$6</f>
        <v/>
      </c>
    </row>
    <row r="207">
      <c r="A207" s="43" t="n">
        <v>197</v>
      </c>
      <c r="B207" s="38">
        <f>Inputs!$B$6</f>
        <v/>
      </c>
      <c r="C207" s="38">
        <f>C206*(1+Inputs!$B$18)+Inputs!$B$6</f>
        <v/>
      </c>
      <c r="D207" s="38">
        <f>D206*(1+Inputs!$B$23)+Inputs!$B$6</f>
        <v/>
      </c>
      <c r="E207" s="38">
        <f>E206*(1+Inputs!$B$24)+Inputs!$B$6</f>
        <v/>
      </c>
    </row>
    <row r="208">
      <c r="A208" s="43" t="n">
        <v>198</v>
      </c>
      <c r="B208" s="38">
        <f>Inputs!$B$6</f>
        <v/>
      </c>
      <c r="C208" s="38">
        <f>C207*(1+Inputs!$B$18)+Inputs!$B$6</f>
        <v/>
      </c>
      <c r="D208" s="38">
        <f>D207*(1+Inputs!$B$23)+Inputs!$B$6</f>
        <v/>
      </c>
      <c r="E208" s="38">
        <f>E207*(1+Inputs!$B$24)+Inputs!$B$6</f>
        <v/>
      </c>
    </row>
    <row r="209">
      <c r="A209" s="43" t="n">
        <v>199</v>
      </c>
      <c r="B209" s="38">
        <f>Inputs!$B$6</f>
        <v/>
      </c>
      <c r="C209" s="38">
        <f>C208*(1+Inputs!$B$18)+Inputs!$B$6</f>
        <v/>
      </c>
      <c r="D209" s="38">
        <f>D208*(1+Inputs!$B$23)+Inputs!$B$6</f>
        <v/>
      </c>
      <c r="E209" s="38">
        <f>E208*(1+Inputs!$B$24)+Inputs!$B$6</f>
        <v/>
      </c>
    </row>
    <row r="210">
      <c r="A210" s="43" t="n">
        <v>200</v>
      </c>
      <c r="B210" s="38">
        <f>Inputs!$B$6</f>
        <v/>
      </c>
      <c r="C210" s="38">
        <f>C209*(1+Inputs!$B$18)+Inputs!$B$6</f>
        <v/>
      </c>
      <c r="D210" s="38">
        <f>D209*(1+Inputs!$B$23)+Inputs!$B$6</f>
        <v/>
      </c>
      <c r="E210" s="38">
        <f>E209*(1+Inputs!$B$24)+Inputs!$B$6</f>
        <v/>
      </c>
    </row>
    <row r="211">
      <c r="A211" s="43" t="n">
        <v>201</v>
      </c>
      <c r="B211" s="38">
        <f>Inputs!$B$6</f>
        <v/>
      </c>
      <c r="C211" s="38">
        <f>C210*(1+Inputs!$B$18)+Inputs!$B$6</f>
        <v/>
      </c>
      <c r="D211" s="38">
        <f>D210*(1+Inputs!$B$23)+Inputs!$B$6</f>
        <v/>
      </c>
      <c r="E211" s="38">
        <f>E210*(1+Inputs!$B$24)+Inputs!$B$6</f>
        <v/>
      </c>
    </row>
    <row r="212">
      <c r="A212" s="43" t="n">
        <v>202</v>
      </c>
      <c r="B212" s="38">
        <f>Inputs!$B$6</f>
        <v/>
      </c>
      <c r="C212" s="38">
        <f>C211*(1+Inputs!$B$18)+Inputs!$B$6</f>
        <v/>
      </c>
      <c r="D212" s="38">
        <f>D211*(1+Inputs!$B$23)+Inputs!$B$6</f>
        <v/>
      </c>
      <c r="E212" s="38">
        <f>E211*(1+Inputs!$B$24)+Inputs!$B$6</f>
        <v/>
      </c>
    </row>
    <row r="213">
      <c r="A213" s="43" t="n">
        <v>203</v>
      </c>
      <c r="B213" s="38">
        <f>Inputs!$B$6</f>
        <v/>
      </c>
      <c r="C213" s="38">
        <f>C212*(1+Inputs!$B$18)+Inputs!$B$6</f>
        <v/>
      </c>
      <c r="D213" s="38">
        <f>D212*(1+Inputs!$B$23)+Inputs!$B$6</f>
        <v/>
      </c>
      <c r="E213" s="38">
        <f>E212*(1+Inputs!$B$24)+Inputs!$B$6</f>
        <v/>
      </c>
    </row>
    <row r="214">
      <c r="A214" s="43" t="n">
        <v>204</v>
      </c>
      <c r="B214" s="38">
        <f>Inputs!$B$6</f>
        <v/>
      </c>
      <c r="C214" s="38">
        <f>C213*(1+Inputs!$B$18)+Inputs!$B$6</f>
        <v/>
      </c>
      <c r="D214" s="38">
        <f>D213*(1+Inputs!$B$23)+Inputs!$B$6</f>
        <v/>
      </c>
      <c r="E214" s="38">
        <f>E213*(1+Inputs!$B$24)+Inputs!$B$6</f>
        <v/>
      </c>
    </row>
    <row r="215">
      <c r="A215" s="43" t="n">
        <v>205</v>
      </c>
      <c r="B215" s="38">
        <f>Inputs!$B$6</f>
        <v/>
      </c>
      <c r="C215" s="38">
        <f>C214*(1+Inputs!$B$18)+Inputs!$B$6</f>
        <v/>
      </c>
      <c r="D215" s="38">
        <f>D214*(1+Inputs!$B$23)+Inputs!$B$6</f>
        <v/>
      </c>
      <c r="E215" s="38">
        <f>E214*(1+Inputs!$B$24)+Inputs!$B$6</f>
        <v/>
      </c>
    </row>
    <row r="216">
      <c r="A216" s="43" t="n">
        <v>206</v>
      </c>
      <c r="B216" s="38">
        <f>Inputs!$B$6</f>
        <v/>
      </c>
      <c r="C216" s="38">
        <f>C215*(1+Inputs!$B$18)+Inputs!$B$6</f>
        <v/>
      </c>
      <c r="D216" s="38">
        <f>D215*(1+Inputs!$B$23)+Inputs!$B$6</f>
        <v/>
      </c>
      <c r="E216" s="38">
        <f>E215*(1+Inputs!$B$24)+Inputs!$B$6</f>
        <v/>
      </c>
    </row>
    <row r="217">
      <c r="A217" s="43" t="n">
        <v>207</v>
      </c>
      <c r="B217" s="38">
        <f>Inputs!$B$6</f>
        <v/>
      </c>
      <c r="C217" s="38">
        <f>C216*(1+Inputs!$B$18)+Inputs!$B$6</f>
        <v/>
      </c>
      <c r="D217" s="38">
        <f>D216*(1+Inputs!$B$23)+Inputs!$B$6</f>
        <v/>
      </c>
      <c r="E217" s="38">
        <f>E216*(1+Inputs!$B$24)+Inputs!$B$6</f>
        <v/>
      </c>
    </row>
    <row r="218">
      <c r="A218" s="43" t="n">
        <v>208</v>
      </c>
      <c r="B218" s="38">
        <f>Inputs!$B$6</f>
        <v/>
      </c>
      <c r="C218" s="38">
        <f>C217*(1+Inputs!$B$18)+Inputs!$B$6</f>
        <v/>
      </c>
      <c r="D218" s="38">
        <f>D217*(1+Inputs!$B$23)+Inputs!$B$6</f>
        <v/>
      </c>
      <c r="E218" s="38">
        <f>E217*(1+Inputs!$B$24)+Inputs!$B$6</f>
        <v/>
      </c>
    </row>
    <row r="219">
      <c r="A219" s="43" t="n">
        <v>209</v>
      </c>
      <c r="B219" s="38">
        <f>Inputs!$B$6</f>
        <v/>
      </c>
      <c r="C219" s="38">
        <f>C218*(1+Inputs!$B$18)+Inputs!$B$6</f>
        <v/>
      </c>
      <c r="D219" s="38">
        <f>D218*(1+Inputs!$B$23)+Inputs!$B$6</f>
        <v/>
      </c>
      <c r="E219" s="38">
        <f>E218*(1+Inputs!$B$24)+Inputs!$B$6</f>
        <v/>
      </c>
    </row>
    <row r="220">
      <c r="A220" s="43" t="n">
        <v>210</v>
      </c>
      <c r="B220" s="38">
        <f>Inputs!$B$6</f>
        <v/>
      </c>
      <c r="C220" s="38">
        <f>C219*(1+Inputs!$B$18)+Inputs!$B$6</f>
        <v/>
      </c>
      <c r="D220" s="38">
        <f>D219*(1+Inputs!$B$23)+Inputs!$B$6</f>
        <v/>
      </c>
      <c r="E220" s="38">
        <f>E219*(1+Inputs!$B$24)+Inputs!$B$6</f>
        <v/>
      </c>
    </row>
    <row r="221">
      <c r="A221" s="43" t="n">
        <v>211</v>
      </c>
      <c r="B221" s="38">
        <f>Inputs!$B$6</f>
        <v/>
      </c>
      <c r="C221" s="38">
        <f>C220*(1+Inputs!$B$18)+Inputs!$B$6</f>
        <v/>
      </c>
      <c r="D221" s="38">
        <f>D220*(1+Inputs!$B$23)+Inputs!$B$6</f>
        <v/>
      </c>
      <c r="E221" s="38">
        <f>E220*(1+Inputs!$B$24)+Inputs!$B$6</f>
        <v/>
      </c>
    </row>
    <row r="222">
      <c r="A222" s="43" t="n">
        <v>212</v>
      </c>
      <c r="B222" s="38">
        <f>Inputs!$B$6</f>
        <v/>
      </c>
      <c r="C222" s="38">
        <f>C221*(1+Inputs!$B$18)+Inputs!$B$6</f>
        <v/>
      </c>
      <c r="D222" s="38">
        <f>D221*(1+Inputs!$B$23)+Inputs!$B$6</f>
        <v/>
      </c>
      <c r="E222" s="38">
        <f>E221*(1+Inputs!$B$24)+Inputs!$B$6</f>
        <v/>
      </c>
    </row>
    <row r="223">
      <c r="A223" s="43" t="n">
        <v>213</v>
      </c>
      <c r="B223" s="38">
        <f>Inputs!$B$6</f>
        <v/>
      </c>
      <c r="C223" s="38">
        <f>C222*(1+Inputs!$B$18)+Inputs!$B$6</f>
        <v/>
      </c>
      <c r="D223" s="38">
        <f>D222*(1+Inputs!$B$23)+Inputs!$B$6</f>
        <v/>
      </c>
      <c r="E223" s="38">
        <f>E222*(1+Inputs!$B$24)+Inputs!$B$6</f>
        <v/>
      </c>
    </row>
    <row r="224">
      <c r="A224" s="43" t="n">
        <v>214</v>
      </c>
      <c r="B224" s="38">
        <f>Inputs!$B$6</f>
        <v/>
      </c>
      <c r="C224" s="38">
        <f>C223*(1+Inputs!$B$18)+Inputs!$B$6</f>
        <v/>
      </c>
      <c r="D224" s="38">
        <f>D223*(1+Inputs!$B$23)+Inputs!$B$6</f>
        <v/>
      </c>
      <c r="E224" s="38">
        <f>E223*(1+Inputs!$B$24)+Inputs!$B$6</f>
        <v/>
      </c>
    </row>
    <row r="225">
      <c r="A225" s="43" t="n">
        <v>215</v>
      </c>
      <c r="B225" s="38">
        <f>Inputs!$B$6</f>
        <v/>
      </c>
      <c r="C225" s="38">
        <f>C224*(1+Inputs!$B$18)+Inputs!$B$6</f>
        <v/>
      </c>
      <c r="D225" s="38">
        <f>D224*(1+Inputs!$B$23)+Inputs!$B$6</f>
        <v/>
      </c>
      <c r="E225" s="38">
        <f>E224*(1+Inputs!$B$24)+Inputs!$B$6</f>
        <v/>
      </c>
    </row>
    <row r="226">
      <c r="A226" s="43" t="n">
        <v>216</v>
      </c>
      <c r="B226" s="38">
        <f>Inputs!$B$6</f>
        <v/>
      </c>
      <c r="C226" s="38">
        <f>C225*(1+Inputs!$B$18)+Inputs!$B$6</f>
        <v/>
      </c>
      <c r="D226" s="38">
        <f>D225*(1+Inputs!$B$23)+Inputs!$B$6</f>
        <v/>
      </c>
      <c r="E226" s="38">
        <f>E225*(1+Inputs!$B$24)+Inputs!$B$6</f>
        <v/>
      </c>
    </row>
    <row r="227">
      <c r="A227" s="43" t="n">
        <v>217</v>
      </c>
      <c r="B227" s="38">
        <f>Inputs!$B$6</f>
        <v/>
      </c>
      <c r="C227" s="38">
        <f>C226*(1+Inputs!$B$18)+Inputs!$B$6</f>
        <v/>
      </c>
      <c r="D227" s="38">
        <f>D226*(1+Inputs!$B$23)+Inputs!$B$6</f>
        <v/>
      </c>
      <c r="E227" s="38">
        <f>E226*(1+Inputs!$B$24)+Inputs!$B$6</f>
        <v/>
      </c>
    </row>
    <row r="228">
      <c r="A228" s="43" t="n">
        <v>218</v>
      </c>
      <c r="B228" s="38">
        <f>Inputs!$B$6</f>
        <v/>
      </c>
      <c r="C228" s="38">
        <f>C227*(1+Inputs!$B$18)+Inputs!$B$6</f>
        <v/>
      </c>
      <c r="D228" s="38">
        <f>D227*(1+Inputs!$B$23)+Inputs!$B$6</f>
        <v/>
      </c>
      <c r="E228" s="38">
        <f>E227*(1+Inputs!$B$24)+Inputs!$B$6</f>
        <v/>
      </c>
    </row>
    <row r="229">
      <c r="A229" s="43" t="n">
        <v>219</v>
      </c>
      <c r="B229" s="38">
        <f>Inputs!$B$6</f>
        <v/>
      </c>
      <c r="C229" s="38">
        <f>C228*(1+Inputs!$B$18)+Inputs!$B$6</f>
        <v/>
      </c>
      <c r="D229" s="38">
        <f>D228*(1+Inputs!$B$23)+Inputs!$B$6</f>
        <v/>
      </c>
      <c r="E229" s="38">
        <f>E228*(1+Inputs!$B$24)+Inputs!$B$6</f>
        <v/>
      </c>
    </row>
    <row r="230">
      <c r="A230" s="43" t="n">
        <v>220</v>
      </c>
      <c r="B230" s="38">
        <f>Inputs!$B$6</f>
        <v/>
      </c>
      <c r="C230" s="38">
        <f>C229*(1+Inputs!$B$18)+Inputs!$B$6</f>
        <v/>
      </c>
      <c r="D230" s="38">
        <f>D229*(1+Inputs!$B$23)+Inputs!$B$6</f>
        <v/>
      </c>
      <c r="E230" s="38">
        <f>E229*(1+Inputs!$B$24)+Inputs!$B$6</f>
        <v/>
      </c>
    </row>
    <row r="231">
      <c r="A231" s="43" t="n">
        <v>221</v>
      </c>
      <c r="B231" s="38">
        <f>Inputs!$B$6</f>
        <v/>
      </c>
      <c r="C231" s="38">
        <f>C230*(1+Inputs!$B$18)+Inputs!$B$6</f>
        <v/>
      </c>
      <c r="D231" s="38">
        <f>D230*(1+Inputs!$B$23)+Inputs!$B$6</f>
        <v/>
      </c>
      <c r="E231" s="38">
        <f>E230*(1+Inputs!$B$24)+Inputs!$B$6</f>
        <v/>
      </c>
    </row>
    <row r="232">
      <c r="A232" s="43" t="n">
        <v>222</v>
      </c>
      <c r="B232" s="38">
        <f>Inputs!$B$6</f>
        <v/>
      </c>
      <c r="C232" s="38">
        <f>C231*(1+Inputs!$B$18)+Inputs!$B$6</f>
        <v/>
      </c>
      <c r="D232" s="38">
        <f>D231*(1+Inputs!$B$23)+Inputs!$B$6</f>
        <v/>
      </c>
      <c r="E232" s="38">
        <f>E231*(1+Inputs!$B$24)+Inputs!$B$6</f>
        <v/>
      </c>
    </row>
    <row r="233">
      <c r="A233" s="43" t="n">
        <v>223</v>
      </c>
      <c r="B233" s="38">
        <f>Inputs!$B$6</f>
        <v/>
      </c>
      <c r="C233" s="38">
        <f>C232*(1+Inputs!$B$18)+Inputs!$B$6</f>
        <v/>
      </c>
      <c r="D233" s="38">
        <f>D232*(1+Inputs!$B$23)+Inputs!$B$6</f>
        <v/>
      </c>
      <c r="E233" s="38">
        <f>E232*(1+Inputs!$B$24)+Inputs!$B$6</f>
        <v/>
      </c>
    </row>
    <row r="234">
      <c r="A234" s="43" t="n">
        <v>224</v>
      </c>
      <c r="B234" s="38">
        <f>Inputs!$B$6</f>
        <v/>
      </c>
      <c r="C234" s="38">
        <f>C233*(1+Inputs!$B$18)+Inputs!$B$6</f>
        <v/>
      </c>
      <c r="D234" s="38">
        <f>D233*(1+Inputs!$B$23)+Inputs!$B$6</f>
        <v/>
      </c>
      <c r="E234" s="38">
        <f>E233*(1+Inputs!$B$24)+Inputs!$B$6</f>
        <v/>
      </c>
    </row>
    <row r="235">
      <c r="A235" s="43" t="n">
        <v>225</v>
      </c>
      <c r="B235" s="38">
        <f>Inputs!$B$6</f>
        <v/>
      </c>
      <c r="C235" s="38">
        <f>C234*(1+Inputs!$B$18)+Inputs!$B$6</f>
        <v/>
      </c>
      <c r="D235" s="38">
        <f>D234*(1+Inputs!$B$23)+Inputs!$B$6</f>
        <v/>
      </c>
      <c r="E235" s="38">
        <f>E234*(1+Inputs!$B$24)+Inputs!$B$6</f>
        <v/>
      </c>
    </row>
    <row r="236">
      <c r="A236" s="43" t="n">
        <v>226</v>
      </c>
      <c r="B236" s="38">
        <f>Inputs!$B$6</f>
        <v/>
      </c>
      <c r="C236" s="38">
        <f>C235*(1+Inputs!$B$18)+Inputs!$B$6</f>
        <v/>
      </c>
      <c r="D236" s="38">
        <f>D235*(1+Inputs!$B$23)+Inputs!$B$6</f>
        <v/>
      </c>
      <c r="E236" s="38">
        <f>E235*(1+Inputs!$B$24)+Inputs!$B$6</f>
        <v/>
      </c>
    </row>
    <row r="237">
      <c r="A237" s="43" t="n">
        <v>227</v>
      </c>
      <c r="B237" s="38">
        <f>Inputs!$B$6</f>
        <v/>
      </c>
      <c r="C237" s="38">
        <f>C236*(1+Inputs!$B$18)+Inputs!$B$6</f>
        <v/>
      </c>
      <c r="D237" s="38">
        <f>D236*(1+Inputs!$B$23)+Inputs!$B$6</f>
        <v/>
      </c>
      <c r="E237" s="38">
        <f>E236*(1+Inputs!$B$24)+Inputs!$B$6</f>
        <v/>
      </c>
    </row>
    <row r="238">
      <c r="A238" s="43" t="n">
        <v>228</v>
      </c>
      <c r="B238" s="38">
        <f>Inputs!$B$6</f>
        <v/>
      </c>
      <c r="C238" s="38">
        <f>C237*(1+Inputs!$B$18)+Inputs!$B$6</f>
        <v/>
      </c>
      <c r="D238" s="38">
        <f>D237*(1+Inputs!$B$23)+Inputs!$B$6</f>
        <v/>
      </c>
      <c r="E238" s="38">
        <f>E237*(1+Inputs!$B$24)+Inputs!$B$6</f>
        <v/>
      </c>
    </row>
    <row r="239">
      <c r="A239" s="43" t="n">
        <v>229</v>
      </c>
      <c r="B239" s="38">
        <f>Inputs!$B$6</f>
        <v/>
      </c>
      <c r="C239" s="38">
        <f>C238*(1+Inputs!$B$18)+Inputs!$B$6</f>
        <v/>
      </c>
      <c r="D239" s="38">
        <f>D238*(1+Inputs!$B$23)+Inputs!$B$6</f>
        <v/>
      </c>
      <c r="E239" s="38">
        <f>E238*(1+Inputs!$B$24)+Inputs!$B$6</f>
        <v/>
      </c>
    </row>
    <row r="240">
      <c r="A240" s="43" t="n">
        <v>230</v>
      </c>
      <c r="B240" s="38">
        <f>Inputs!$B$6</f>
        <v/>
      </c>
      <c r="C240" s="38">
        <f>C239*(1+Inputs!$B$18)+Inputs!$B$6</f>
        <v/>
      </c>
      <c r="D240" s="38">
        <f>D239*(1+Inputs!$B$23)+Inputs!$B$6</f>
        <v/>
      </c>
      <c r="E240" s="38">
        <f>E239*(1+Inputs!$B$24)+Inputs!$B$6</f>
        <v/>
      </c>
    </row>
    <row r="241">
      <c r="A241" s="43" t="n">
        <v>231</v>
      </c>
      <c r="B241" s="38">
        <f>Inputs!$B$6</f>
        <v/>
      </c>
      <c r="C241" s="38">
        <f>C240*(1+Inputs!$B$18)+Inputs!$B$6</f>
        <v/>
      </c>
      <c r="D241" s="38">
        <f>D240*(1+Inputs!$B$23)+Inputs!$B$6</f>
        <v/>
      </c>
      <c r="E241" s="38">
        <f>E240*(1+Inputs!$B$24)+Inputs!$B$6</f>
        <v/>
      </c>
    </row>
    <row r="242">
      <c r="A242" s="43" t="n">
        <v>232</v>
      </c>
      <c r="B242" s="38">
        <f>Inputs!$B$6</f>
        <v/>
      </c>
      <c r="C242" s="38">
        <f>C241*(1+Inputs!$B$18)+Inputs!$B$6</f>
        <v/>
      </c>
      <c r="D242" s="38">
        <f>D241*(1+Inputs!$B$23)+Inputs!$B$6</f>
        <v/>
      </c>
      <c r="E242" s="38">
        <f>E241*(1+Inputs!$B$24)+Inputs!$B$6</f>
        <v/>
      </c>
    </row>
    <row r="243">
      <c r="A243" s="43" t="n">
        <v>233</v>
      </c>
      <c r="B243" s="38">
        <f>Inputs!$B$6</f>
        <v/>
      </c>
      <c r="C243" s="38">
        <f>C242*(1+Inputs!$B$18)+Inputs!$B$6</f>
        <v/>
      </c>
      <c r="D243" s="38">
        <f>D242*(1+Inputs!$B$23)+Inputs!$B$6</f>
        <v/>
      </c>
      <c r="E243" s="38">
        <f>E242*(1+Inputs!$B$24)+Inputs!$B$6</f>
        <v/>
      </c>
    </row>
    <row r="244">
      <c r="A244" s="43" t="n">
        <v>234</v>
      </c>
      <c r="B244" s="38">
        <f>Inputs!$B$6</f>
        <v/>
      </c>
      <c r="C244" s="38">
        <f>C243*(1+Inputs!$B$18)+Inputs!$B$6</f>
        <v/>
      </c>
      <c r="D244" s="38">
        <f>D243*(1+Inputs!$B$23)+Inputs!$B$6</f>
        <v/>
      </c>
      <c r="E244" s="38">
        <f>E243*(1+Inputs!$B$24)+Inputs!$B$6</f>
        <v/>
      </c>
    </row>
    <row r="245">
      <c r="A245" s="43" t="n">
        <v>235</v>
      </c>
      <c r="B245" s="38">
        <f>Inputs!$B$6</f>
        <v/>
      </c>
      <c r="C245" s="38">
        <f>C244*(1+Inputs!$B$18)+Inputs!$B$6</f>
        <v/>
      </c>
      <c r="D245" s="38">
        <f>D244*(1+Inputs!$B$23)+Inputs!$B$6</f>
        <v/>
      </c>
      <c r="E245" s="38">
        <f>E244*(1+Inputs!$B$24)+Inputs!$B$6</f>
        <v/>
      </c>
    </row>
    <row r="246">
      <c r="A246" s="43" t="n">
        <v>236</v>
      </c>
      <c r="B246" s="38">
        <f>Inputs!$B$6</f>
        <v/>
      </c>
      <c r="C246" s="38">
        <f>C245*(1+Inputs!$B$18)+Inputs!$B$6</f>
        <v/>
      </c>
      <c r="D246" s="38">
        <f>D245*(1+Inputs!$B$23)+Inputs!$B$6</f>
        <v/>
      </c>
      <c r="E246" s="38">
        <f>E245*(1+Inputs!$B$24)+Inputs!$B$6</f>
        <v/>
      </c>
    </row>
    <row r="247">
      <c r="A247" s="43" t="n">
        <v>237</v>
      </c>
      <c r="B247" s="38">
        <f>Inputs!$B$6</f>
        <v/>
      </c>
      <c r="C247" s="38">
        <f>C246*(1+Inputs!$B$18)+Inputs!$B$6</f>
        <v/>
      </c>
      <c r="D247" s="38">
        <f>D246*(1+Inputs!$B$23)+Inputs!$B$6</f>
        <v/>
      </c>
      <c r="E247" s="38">
        <f>E246*(1+Inputs!$B$24)+Inputs!$B$6</f>
        <v/>
      </c>
    </row>
    <row r="248">
      <c r="A248" s="43" t="n">
        <v>238</v>
      </c>
      <c r="B248" s="38">
        <f>Inputs!$B$6</f>
        <v/>
      </c>
      <c r="C248" s="38">
        <f>C247*(1+Inputs!$B$18)+Inputs!$B$6</f>
        <v/>
      </c>
      <c r="D248" s="38">
        <f>D247*(1+Inputs!$B$23)+Inputs!$B$6</f>
        <v/>
      </c>
      <c r="E248" s="38">
        <f>E247*(1+Inputs!$B$24)+Inputs!$B$6</f>
        <v/>
      </c>
    </row>
    <row r="249">
      <c r="A249" s="43" t="n">
        <v>239</v>
      </c>
      <c r="B249" s="38">
        <f>Inputs!$B$6</f>
        <v/>
      </c>
      <c r="C249" s="38">
        <f>C248*(1+Inputs!$B$18)+Inputs!$B$6</f>
        <v/>
      </c>
      <c r="D249" s="38">
        <f>D248*(1+Inputs!$B$23)+Inputs!$B$6</f>
        <v/>
      </c>
      <c r="E249" s="38">
        <f>E248*(1+Inputs!$B$24)+Inputs!$B$6</f>
        <v/>
      </c>
    </row>
    <row r="250">
      <c r="A250" s="43" t="n">
        <v>240</v>
      </c>
      <c r="B250" s="38">
        <f>Inputs!$B$6</f>
        <v/>
      </c>
      <c r="C250" s="38">
        <f>C249*(1+Inputs!$B$18)+Inputs!$B$6</f>
        <v/>
      </c>
      <c r="D250" s="38">
        <f>D249*(1+Inputs!$B$23)+Inputs!$B$6</f>
        <v/>
      </c>
      <c r="E250" s="38">
        <f>E249*(1+Inputs!$B$24)+Inputs!$B$6</f>
        <v/>
      </c>
    </row>
    <row r="251">
      <c r="A251" s="43" t="n">
        <v>241</v>
      </c>
      <c r="B251" s="38">
        <f>Inputs!$B$6</f>
        <v/>
      </c>
      <c r="C251" s="38">
        <f>C250*(1+Inputs!$B$18)+Inputs!$B$6</f>
        <v/>
      </c>
      <c r="D251" s="38">
        <f>D250*(1+Inputs!$B$23)+Inputs!$B$6</f>
        <v/>
      </c>
      <c r="E251" s="38">
        <f>E250*(1+Inputs!$B$24)+Inputs!$B$6</f>
        <v/>
      </c>
    </row>
    <row r="252">
      <c r="A252" s="43" t="n">
        <v>242</v>
      </c>
      <c r="B252" s="38">
        <f>Inputs!$B$6</f>
        <v/>
      </c>
      <c r="C252" s="38">
        <f>C251*(1+Inputs!$B$18)+Inputs!$B$6</f>
        <v/>
      </c>
      <c r="D252" s="38">
        <f>D251*(1+Inputs!$B$23)+Inputs!$B$6</f>
        <v/>
      </c>
      <c r="E252" s="38">
        <f>E251*(1+Inputs!$B$24)+Inputs!$B$6</f>
        <v/>
      </c>
    </row>
    <row r="253">
      <c r="A253" s="43" t="n">
        <v>243</v>
      </c>
      <c r="B253" s="38">
        <f>Inputs!$B$6</f>
        <v/>
      </c>
      <c r="C253" s="38">
        <f>C252*(1+Inputs!$B$18)+Inputs!$B$6</f>
        <v/>
      </c>
      <c r="D253" s="38">
        <f>D252*(1+Inputs!$B$23)+Inputs!$B$6</f>
        <v/>
      </c>
      <c r="E253" s="38">
        <f>E252*(1+Inputs!$B$24)+Inputs!$B$6</f>
        <v/>
      </c>
    </row>
    <row r="254">
      <c r="A254" s="43" t="n">
        <v>244</v>
      </c>
      <c r="B254" s="38">
        <f>Inputs!$B$6</f>
        <v/>
      </c>
      <c r="C254" s="38">
        <f>C253*(1+Inputs!$B$18)+Inputs!$B$6</f>
        <v/>
      </c>
      <c r="D254" s="38">
        <f>D253*(1+Inputs!$B$23)+Inputs!$B$6</f>
        <v/>
      </c>
      <c r="E254" s="38">
        <f>E253*(1+Inputs!$B$24)+Inputs!$B$6</f>
        <v/>
      </c>
    </row>
    <row r="255">
      <c r="A255" s="43" t="n">
        <v>245</v>
      </c>
      <c r="B255" s="38">
        <f>Inputs!$B$6</f>
        <v/>
      </c>
      <c r="C255" s="38">
        <f>C254*(1+Inputs!$B$18)+Inputs!$B$6</f>
        <v/>
      </c>
      <c r="D255" s="38">
        <f>D254*(1+Inputs!$B$23)+Inputs!$B$6</f>
        <v/>
      </c>
      <c r="E255" s="38">
        <f>E254*(1+Inputs!$B$24)+Inputs!$B$6</f>
        <v/>
      </c>
    </row>
    <row r="256">
      <c r="A256" s="43" t="n">
        <v>246</v>
      </c>
      <c r="B256" s="38">
        <f>Inputs!$B$6</f>
        <v/>
      </c>
      <c r="C256" s="38">
        <f>C255*(1+Inputs!$B$18)+Inputs!$B$6</f>
        <v/>
      </c>
      <c r="D256" s="38">
        <f>D255*(1+Inputs!$B$23)+Inputs!$B$6</f>
        <v/>
      </c>
      <c r="E256" s="38">
        <f>E255*(1+Inputs!$B$24)+Inputs!$B$6</f>
        <v/>
      </c>
    </row>
    <row r="257">
      <c r="A257" s="43" t="n">
        <v>247</v>
      </c>
      <c r="B257" s="38">
        <f>Inputs!$B$6</f>
        <v/>
      </c>
      <c r="C257" s="38">
        <f>C256*(1+Inputs!$B$18)+Inputs!$B$6</f>
        <v/>
      </c>
      <c r="D257" s="38">
        <f>D256*(1+Inputs!$B$23)+Inputs!$B$6</f>
        <v/>
      </c>
      <c r="E257" s="38">
        <f>E256*(1+Inputs!$B$24)+Inputs!$B$6</f>
        <v/>
      </c>
    </row>
    <row r="258">
      <c r="A258" s="43" t="n">
        <v>248</v>
      </c>
      <c r="B258" s="38">
        <f>Inputs!$B$6</f>
        <v/>
      </c>
      <c r="C258" s="38">
        <f>C257*(1+Inputs!$B$18)+Inputs!$B$6</f>
        <v/>
      </c>
      <c r="D258" s="38">
        <f>D257*(1+Inputs!$B$23)+Inputs!$B$6</f>
        <v/>
      </c>
      <c r="E258" s="38">
        <f>E257*(1+Inputs!$B$24)+Inputs!$B$6</f>
        <v/>
      </c>
    </row>
    <row r="259">
      <c r="A259" s="43" t="n">
        <v>249</v>
      </c>
      <c r="B259" s="38">
        <f>Inputs!$B$6</f>
        <v/>
      </c>
      <c r="C259" s="38">
        <f>C258*(1+Inputs!$B$18)+Inputs!$B$6</f>
        <v/>
      </c>
      <c r="D259" s="38">
        <f>D258*(1+Inputs!$B$23)+Inputs!$B$6</f>
        <v/>
      </c>
      <c r="E259" s="38">
        <f>E258*(1+Inputs!$B$24)+Inputs!$B$6</f>
        <v/>
      </c>
    </row>
    <row r="260">
      <c r="A260" s="43" t="n">
        <v>250</v>
      </c>
      <c r="B260" s="38">
        <f>Inputs!$B$6</f>
        <v/>
      </c>
      <c r="C260" s="38">
        <f>C259*(1+Inputs!$B$18)+Inputs!$B$6</f>
        <v/>
      </c>
      <c r="D260" s="38">
        <f>D259*(1+Inputs!$B$23)+Inputs!$B$6</f>
        <v/>
      </c>
      <c r="E260" s="38">
        <f>E259*(1+Inputs!$B$24)+Inputs!$B$6</f>
        <v/>
      </c>
    </row>
    <row r="261">
      <c r="A261" s="43" t="n">
        <v>251</v>
      </c>
      <c r="B261" s="38">
        <f>Inputs!$B$6</f>
        <v/>
      </c>
      <c r="C261" s="38">
        <f>C260*(1+Inputs!$B$18)+Inputs!$B$6</f>
        <v/>
      </c>
      <c r="D261" s="38">
        <f>D260*(1+Inputs!$B$23)+Inputs!$B$6</f>
        <v/>
      </c>
      <c r="E261" s="38">
        <f>E260*(1+Inputs!$B$24)+Inputs!$B$6</f>
        <v/>
      </c>
    </row>
    <row r="262">
      <c r="A262" s="43" t="n">
        <v>252</v>
      </c>
      <c r="B262" s="38">
        <f>Inputs!$B$6</f>
        <v/>
      </c>
      <c r="C262" s="38">
        <f>C261*(1+Inputs!$B$18)+Inputs!$B$6</f>
        <v/>
      </c>
      <c r="D262" s="38">
        <f>D261*(1+Inputs!$B$23)+Inputs!$B$6</f>
        <v/>
      </c>
      <c r="E262" s="38">
        <f>E261*(1+Inputs!$B$24)+Inputs!$B$6</f>
        <v/>
      </c>
    </row>
    <row r="263">
      <c r="A263" s="43" t="n">
        <v>253</v>
      </c>
      <c r="B263" s="38">
        <f>Inputs!$B$6</f>
        <v/>
      </c>
      <c r="C263" s="38">
        <f>C262*(1+Inputs!$B$18)+Inputs!$B$6</f>
        <v/>
      </c>
      <c r="D263" s="38">
        <f>D262*(1+Inputs!$B$23)+Inputs!$B$6</f>
        <v/>
      </c>
      <c r="E263" s="38">
        <f>E262*(1+Inputs!$B$24)+Inputs!$B$6</f>
        <v/>
      </c>
    </row>
    <row r="264">
      <c r="A264" s="43" t="n">
        <v>254</v>
      </c>
      <c r="B264" s="38">
        <f>Inputs!$B$6</f>
        <v/>
      </c>
      <c r="C264" s="38">
        <f>C263*(1+Inputs!$B$18)+Inputs!$B$6</f>
        <v/>
      </c>
      <c r="D264" s="38">
        <f>D263*(1+Inputs!$B$23)+Inputs!$B$6</f>
        <v/>
      </c>
      <c r="E264" s="38">
        <f>E263*(1+Inputs!$B$24)+Inputs!$B$6</f>
        <v/>
      </c>
    </row>
    <row r="265">
      <c r="A265" s="43" t="n">
        <v>255</v>
      </c>
      <c r="B265" s="38">
        <f>Inputs!$B$6</f>
        <v/>
      </c>
      <c r="C265" s="38">
        <f>C264*(1+Inputs!$B$18)+Inputs!$B$6</f>
        <v/>
      </c>
      <c r="D265" s="38">
        <f>D264*(1+Inputs!$B$23)+Inputs!$B$6</f>
        <v/>
      </c>
      <c r="E265" s="38">
        <f>E264*(1+Inputs!$B$24)+Inputs!$B$6</f>
        <v/>
      </c>
    </row>
    <row r="266">
      <c r="A266" s="43" t="n">
        <v>256</v>
      </c>
      <c r="B266" s="38">
        <f>Inputs!$B$6</f>
        <v/>
      </c>
      <c r="C266" s="38">
        <f>C265*(1+Inputs!$B$18)+Inputs!$B$6</f>
        <v/>
      </c>
      <c r="D266" s="38">
        <f>D265*(1+Inputs!$B$23)+Inputs!$B$6</f>
        <v/>
      </c>
      <c r="E266" s="38">
        <f>E265*(1+Inputs!$B$24)+Inputs!$B$6</f>
        <v/>
      </c>
    </row>
    <row r="267">
      <c r="A267" s="43" t="n">
        <v>257</v>
      </c>
      <c r="B267" s="38">
        <f>Inputs!$B$6</f>
        <v/>
      </c>
      <c r="C267" s="38">
        <f>C266*(1+Inputs!$B$18)+Inputs!$B$6</f>
        <v/>
      </c>
      <c r="D267" s="38">
        <f>D266*(1+Inputs!$B$23)+Inputs!$B$6</f>
        <v/>
      </c>
      <c r="E267" s="38">
        <f>E266*(1+Inputs!$B$24)+Inputs!$B$6</f>
        <v/>
      </c>
    </row>
    <row r="268">
      <c r="A268" s="43" t="n">
        <v>258</v>
      </c>
      <c r="B268" s="38">
        <f>Inputs!$B$6</f>
        <v/>
      </c>
      <c r="C268" s="38">
        <f>C267*(1+Inputs!$B$18)+Inputs!$B$6</f>
        <v/>
      </c>
      <c r="D268" s="38">
        <f>D267*(1+Inputs!$B$23)+Inputs!$B$6</f>
        <v/>
      </c>
      <c r="E268" s="38">
        <f>E267*(1+Inputs!$B$24)+Inputs!$B$6</f>
        <v/>
      </c>
    </row>
    <row r="269">
      <c r="A269" s="43" t="n">
        <v>259</v>
      </c>
      <c r="B269" s="38">
        <f>Inputs!$B$6</f>
        <v/>
      </c>
      <c r="C269" s="38">
        <f>C268*(1+Inputs!$B$18)+Inputs!$B$6</f>
        <v/>
      </c>
      <c r="D269" s="38">
        <f>D268*(1+Inputs!$B$23)+Inputs!$B$6</f>
        <v/>
      </c>
      <c r="E269" s="38">
        <f>E268*(1+Inputs!$B$24)+Inputs!$B$6</f>
        <v/>
      </c>
    </row>
    <row r="270">
      <c r="A270" s="43" t="n">
        <v>260</v>
      </c>
      <c r="B270" s="38">
        <f>Inputs!$B$6</f>
        <v/>
      </c>
      <c r="C270" s="38">
        <f>C269*(1+Inputs!$B$18)+Inputs!$B$6</f>
        <v/>
      </c>
      <c r="D270" s="38">
        <f>D269*(1+Inputs!$B$23)+Inputs!$B$6</f>
        <v/>
      </c>
      <c r="E270" s="38">
        <f>E269*(1+Inputs!$B$24)+Inputs!$B$6</f>
        <v/>
      </c>
    </row>
    <row r="271">
      <c r="A271" s="43" t="n">
        <v>261</v>
      </c>
      <c r="B271" s="38">
        <f>Inputs!$B$6</f>
        <v/>
      </c>
      <c r="C271" s="38">
        <f>C270*(1+Inputs!$B$18)+Inputs!$B$6</f>
        <v/>
      </c>
      <c r="D271" s="38">
        <f>D270*(1+Inputs!$B$23)+Inputs!$B$6</f>
        <v/>
      </c>
      <c r="E271" s="38">
        <f>E270*(1+Inputs!$B$24)+Inputs!$B$6</f>
        <v/>
      </c>
    </row>
    <row r="272">
      <c r="A272" s="43" t="n">
        <v>262</v>
      </c>
      <c r="B272" s="38">
        <f>Inputs!$B$6</f>
        <v/>
      </c>
      <c r="C272" s="38">
        <f>C271*(1+Inputs!$B$18)+Inputs!$B$6</f>
        <v/>
      </c>
      <c r="D272" s="38">
        <f>D271*(1+Inputs!$B$23)+Inputs!$B$6</f>
        <v/>
      </c>
      <c r="E272" s="38">
        <f>E271*(1+Inputs!$B$24)+Inputs!$B$6</f>
        <v/>
      </c>
    </row>
    <row r="273">
      <c r="A273" s="43" t="n">
        <v>263</v>
      </c>
      <c r="B273" s="38">
        <f>Inputs!$B$6</f>
        <v/>
      </c>
      <c r="C273" s="38">
        <f>C272*(1+Inputs!$B$18)+Inputs!$B$6</f>
        <v/>
      </c>
      <c r="D273" s="38">
        <f>D272*(1+Inputs!$B$23)+Inputs!$B$6</f>
        <v/>
      </c>
      <c r="E273" s="38">
        <f>E272*(1+Inputs!$B$24)+Inputs!$B$6</f>
        <v/>
      </c>
    </row>
    <row r="274">
      <c r="A274" s="43" t="n">
        <v>264</v>
      </c>
      <c r="B274" s="38">
        <f>Inputs!$B$6</f>
        <v/>
      </c>
      <c r="C274" s="38">
        <f>C273*(1+Inputs!$B$18)+Inputs!$B$6</f>
        <v/>
      </c>
      <c r="D274" s="38">
        <f>D273*(1+Inputs!$B$23)+Inputs!$B$6</f>
        <v/>
      </c>
      <c r="E274" s="38">
        <f>E273*(1+Inputs!$B$24)+Inputs!$B$6</f>
        <v/>
      </c>
    </row>
    <row r="275">
      <c r="A275" s="43" t="n">
        <v>265</v>
      </c>
      <c r="B275" s="38">
        <f>Inputs!$B$6</f>
        <v/>
      </c>
      <c r="C275" s="38">
        <f>C274*(1+Inputs!$B$18)+Inputs!$B$6</f>
        <v/>
      </c>
      <c r="D275" s="38">
        <f>D274*(1+Inputs!$B$23)+Inputs!$B$6</f>
        <v/>
      </c>
      <c r="E275" s="38">
        <f>E274*(1+Inputs!$B$24)+Inputs!$B$6</f>
        <v/>
      </c>
    </row>
    <row r="276">
      <c r="A276" s="43" t="n">
        <v>266</v>
      </c>
      <c r="B276" s="38">
        <f>Inputs!$B$6</f>
        <v/>
      </c>
      <c r="C276" s="38">
        <f>C275*(1+Inputs!$B$18)+Inputs!$B$6</f>
        <v/>
      </c>
      <c r="D276" s="38">
        <f>D275*(1+Inputs!$B$23)+Inputs!$B$6</f>
        <v/>
      </c>
      <c r="E276" s="38">
        <f>E275*(1+Inputs!$B$24)+Inputs!$B$6</f>
        <v/>
      </c>
    </row>
    <row r="277">
      <c r="A277" s="43" t="n">
        <v>267</v>
      </c>
      <c r="B277" s="38">
        <f>Inputs!$B$6</f>
        <v/>
      </c>
      <c r="C277" s="38">
        <f>C276*(1+Inputs!$B$18)+Inputs!$B$6</f>
        <v/>
      </c>
      <c r="D277" s="38">
        <f>D276*(1+Inputs!$B$23)+Inputs!$B$6</f>
        <v/>
      </c>
      <c r="E277" s="38">
        <f>E276*(1+Inputs!$B$24)+Inputs!$B$6</f>
        <v/>
      </c>
    </row>
    <row r="278">
      <c r="A278" s="43" t="n">
        <v>268</v>
      </c>
      <c r="B278" s="38">
        <f>Inputs!$B$6</f>
        <v/>
      </c>
      <c r="C278" s="38">
        <f>C277*(1+Inputs!$B$18)+Inputs!$B$6</f>
        <v/>
      </c>
      <c r="D278" s="38">
        <f>D277*(1+Inputs!$B$23)+Inputs!$B$6</f>
        <v/>
      </c>
      <c r="E278" s="38">
        <f>E277*(1+Inputs!$B$24)+Inputs!$B$6</f>
        <v/>
      </c>
    </row>
    <row r="279">
      <c r="A279" s="43" t="n">
        <v>269</v>
      </c>
      <c r="B279" s="38">
        <f>Inputs!$B$6</f>
        <v/>
      </c>
      <c r="C279" s="38">
        <f>C278*(1+Inputs!$B$18)+Inputs!$B$6</f>
        <v/>
      </c>
      <c r="D279" s="38">
        <f>D278*(1+Inputs!$B$23)+Inputs!$B$6</f>
        <v/>
      </c>
      <c r="E279" s="38">
        <f>E278*(1+Inputs!$B$24)+Inputs!$B$6</f>
        <v/>
      </c>
    </row>
    <row r="280">
      <c r="A280" s="43" t="n">
        <v>270</v>
      </c>
      <c r="B280" s="38">
        <f>Inputs!$B$6</f>
        <v/>
      </c>
      <c r="C280" s="38">
        <f>C279*(1+Inputs!$B$18)+Inputs!$B$6</f>
        <v/>
      </c>
      <c r="D280" s="38">
        <f>D279*(1+Inputs!$B$23)+Inputs!$B$6</f>
        <v/>
      </c>
      <c r="E280" s="38">
        <f>E279*(1+Inputs!$B$24)+Inputs!$B$6</f>
        <v/>
      </c>
    </row>
    <row r="281">
      <c r="A281" s="43" t="n">
        <v>271</v>
      </c>
      <c r="B281" s="38">
        <f>Inputs!$B$6</f>
        <v/>
      </c>
      <c r="C281" s="38">
        <f>C280*(1+Inputs!$B$18)+Inputs!$B$6</f>
        <v/>
      </c>
      <c r="D281" s="38">
        <f>D280*(1+Inputs!$B$23)+Inputs!$B$6</f>
        <v/>
      </c>
      <c r="E281" s="38">
        <f>E280*(1+Inputs!$B$24)+Inputs!$B$6</f>
        <v/>
      </c>
    </row>
    <row r="282">
      <c r="A282" s="43" t="n">
        <v>272</v>
      </c>
      <c r="B282" s="38">
        <f>Inputs!$B$6</f>
        <v/>
      </c>
      <c r="C282" s="38">
        <f>C281*(1+Inputs!$B$18)+Inputs!$B$6</f>
        <v/>
      </c>
      <c r="D282" s="38">
        <f>D281*(1+Inputs!$B$23)+Inputs!$B$6</f>
        <v/>
      </c>
      <c r="E282" s="38">
        <f>E281*(1+Inputs!$B$24)+Inputs!$B$6</f>
        <v/>
      </c>
    </row>
    <row r="283">
      <c r="A283" s="43" t="n">
        <v>273</v>
      </c>
      <c r="B283" s="38">
        <f>Inputs!$B$6</f>
        <v/>
      </c>
      <c r="C283" s="38">
        <f>C282*(1+Inputs!$B$18)+Inputs!$B$6</f>
        <v/>
      </c>
      <c r="D283" s="38">
        <f>D282*(1+Inputs!$B$23)+Inputs!$B$6</f>
        <v/>
      </c>
      <c r="E283" s="38">
        <f>E282*(1+Inputs!$B$24)+Inputs!$B$6</f>
        <v/>
      </c>
    </row>
    <row r="284">
      <c r="A284" s="43" t="n">
        <v>274</v>
      </c>
      <c r="B284" s="38">
        <f>Inputs!$B$6</f>
        <v/>
      </c>
      <c r="C284" s="38">
        <f>C283*(1+Inputs!$B$18)+Inputs!$B$6</f>
        <v/>
      </c>
      <c r="D284" s="38">
        <f>D283*(1+Inputs!$B$23)+Inputs!$B$6</f>
        <v/>
      </c>
      <c r="E284" s="38">
        <f>E283*(1+Inputs!$B$24)+Inputs!$B$6</f>
        <v/>
      </c>
    </row>
    <row r="285">
      <c r="A285" s="43" t="n">
        <v>275</v>
      </c>
      <c r="B285" s="38">
        <f>Inputs!$B$6</f>
        <v/>
      </c>
      <c r="C285" s="38">
        <f>C284*(1+Inputs!$B$18)+Inputs!$B$6</f>
        <v/>
      </c>
      <c r="D285" s="38">
        <f>D284*(1+Inputs!$B$23)+Inputs!$B$6</f>
        <v/>
      </c>
      <c r="E285" s="38">
        <f>E284*(1+Inputs!$B$24)+Inputs!$B$6</f>
        <v/>
      </c>
    </row>
    <row r="286">
      <c r="A286" s="43" t="n">
        <v>276</v>
      </c>
      <c r="B286" s="38">
        <f>Inputs!$B$6</f>
        <v/>
      </c>
      <c r="C286" s="38">
        <f>C285*(1+Inputs!$B$18)+Inputs!$B$6</f>
        <v/>
      </c>
      <c r="D286" s="38">
        <f>D285*(1+Inputs!$B$23)+Inputs!$B$6</f>
        <v/>
      </c>
      <c r="E286" s="38">
        <f>E285*(1+Inputs!$B$24)+Inputs!$B$6</f>
        <v/>
      </c>
    </row>
    <row r="287">
      <c r="A287" s="43" t="n">
        <v>277</v>
      </c>
      <c r="B287" s="38">
        <f>Inputs!$B$6</f>
        <v/>
      </c>
      <c r="C287" s="38">
        <f>C286*(1+Inputs!$B$18)+Inputs!$B$6</f>
        <v/>
      </c>
      <c r="D287" s="38">
        <f>D286*(1+Inputs!$B$23)+Inputs!$B$6</f>
        <v/>
      </c>
      <c r="E287" s="38">
        <f>E286*(1+Inputs!$B$24)+Inputs!$B$6</f>
        <v/>
      </c>
    </row>
    <row r="288">
      <c r="A288" s="43" t="n">
        <v>278</v>
      </c>
      <c r="B288" s="38">
        <f>Inputs!$B$6</f>
        <v/>
      </c>
      <c r="C288" s="38">
        <f>C287*(1+Inputs!$B$18)+Inputs!$B$6</f>
        <v/>
      </c>
      <c r="D288" s="38">
        <f>D287*(1+Inputs!$B$23)+Inputs!$B$6</f>
        <v/>
      </c>
      <c r="E288" s="38">
        <f>E287*(1+Inputs!$B$24)+Inputs!$B$6</f>
        <v/>
      </c>
    </row>
    <row r="289">
      <c r="A289" s="43" t="n">
        <v>279</v>
      </c>
      <c r="B289" s="38">
        <f>Inputs!$B$6</f>
        <v/>
      </c>
      <c r="C289" s="38">
        <f>C288*(1+Inputs!$B$18)+Inputs!$B$6</f>
        <v/>
      </c>
      <c r="D289" s="38">
        <f>D288*(1+Inputs!$B$23)+Inputs!$B$6</f>
        <v/>
      </c>
      <c r="E289" s="38">
        <f>E288*(1+Inputs!$B$24)+Inputs!$B$6</f>
        <v/>
      </c>
    </row>
    <row r="290">
      <c r="A290" s="43" t="n">
        <v>280</v>
      </c>
      <c r="B290" s="38">
        <f>Inputs!$B$6</f>
        <v/>
      </c>
      <c r="C290" s="38">
        <f>C289*(1+Inputs!$B$18)+Inputs!$B$6</f>
        <v/>
      </c>
      <c r="D290" s="38">
        <f>D289*(1+Inputs!$B$23)+Inputs!$B$6</f>
        <v/>
      </c>
      <c r="E290" s="38">
        <f>E289*(1+Inputs!$B$24)+Inputs!$B$6</f>
        <v/>
      </c>
    </row>
    <row r="291">
      <c r="A291" s="43" t="n">
        <v>281</v>
      </c>
      <c r="B291" s="38">
        <f>Inputs!$B$6</f>
        <v/>
      </c>
      <c r="C291" s="38">
        <f>C290*(1+Inputs!$B$18)+Inputs!$B$6</f>
        <v/>
      </c>
      <c r="D291" s="38">
        <f>D290*(1+Inputs!$B$23)+Inputs!$B$6</f>
        <v/>
      </c>
      <c r="E291" s="38">
        <f>E290*(1+Inputs!$B$24)+Inputs!$B$6</f>
        <v/>
      </c>
    </row>
    <row r="292">
      <c r="A292" s="43" t="n">
        <v>282</v>
      </c>
      <c r="B292" s="38">
        <f>Inputs!$B$6</f>
        <v/>
      </c>
      <c r="C292" s="38">
        <f>C291*(1+Inputs!$B$18)+Inputs!$B$6</f>
        <v/>
      </c>
      <c r="D292" s="38">
        <f>D291*(1+Inputs!$B$23)+Inputs!$B$6</f>
        <v/>
      </c>
      <c r="E292" s="38">
        <f>E291*(1+Inputs!$B$24)+Inputs!$B$6</f>
        <v/>
      </c>
    </row>
    <row r="293">
      <c r="A293" s="43" t="n">
        <v>283</v>
      </c>
      <c r="B293" s="38">
        <f>Inputs!$B$6</f>
        <v/>
      </c>
      <c r="C293" s="38">
        <f>C292*(1+Inputs!$B$18)+Inputs!$B$6</f>
        <v/>
      </c>
      <c r="D293" s="38">
        <f>D292*(1+Inputs!$B$23)+Inputs!$B$6</f>
        <v/>
      </c>
      <c r="E293" s="38">
        <f>E292*(1+Inputs!$B$24)+Inputs!$B$6</f>
        <v/>
      </c>
    </row>
    <row r="294">
      <c r="A294" s="43" t="n">
        <v>284</v>
      </c>
      <c r="B294" s="38">
        <f>Inputs!$B$6</f>
        <v/>
      </c>
      <c r="C294" s="38">
        <f>C293*(1+Inputs!$B$18)+Inputs!$B$6</f>
        <v/>
      </c>
      <c r="D294" s="38">
        <f>D293*(1+Inputs!$B$23)+Inputs!$B$6</f>
        <v/>
      </c>
      <c r="E294" s="38">
        <f>E293*(1+Inputs!$B$24)+Inputs!$B$6</f>
        <v/>
      </c>
    </row>
    <row r="295">
      <c r="A295" s="43" t="n">
        <v>285</v>
      </c>
      <c r="B295" s="38">
        <f>Inputs!$B$6</f>
        <v/>
      </c>
      <c r="C295" s="38">
        <f>C294*(1+Inputs!$B$18)+Inputs!$B$6</f>
        <v/>
      </c>
      <c r="D295" s="38">
        <f>D294*(1+Inputs!$B$23)+Inputs!$B$6</f>
        <v/>
      </c>
      <c r="E295" s="38">
        <f>E294*(1+Inputs!$B$24)+Inputs!$B$6</f>
        <v/>
      </c>
    </row>
    <row r="296">
      <c r="A296" s="43" t="n">
        <v>286</v>
      </c>
      <c r="B296" s="38">
        <f>Inputs!$B$6</f>
        <v/>
      </c>
      <c r="C296" s="38">
        <f>C295*(1+Inputs!$B$18)+Inputs!$B$6</f>
        <v/>
      </c>
      <c r="D296" s="38">
        <f>D295*(1+Inputs!$B$23)+Inputs!$B$6</f>
        <v/>
      </c>
      <c r="E296" s="38">
        <f>E295*(1+Inputs!$B$24)+Inputs!$B$6</f>
        <v/>
      </c>
    </row>
    <row r="297">
      <c r="A297" s="43" t="n">
        <v>287</v>
      </c>
      <c r="B297" s="38">
        <f>Inputs!$B$6</f>
        <v/>
      </c>
      <c r="C297" s="38">
        <f>C296*(1+Inputs!$B$18)+Inputs!$B$6</f>
        <v/>
      </c>
      <c r="D297" s="38">
        <f>D296*(1+Inputs!$B$23)+Inputs!$B$6</f>
        <v/>
      </c>
      <c r="E297" s="38">
        <f>E296*(1+Inputs!$B$24)+Inputs!$B$6</f>
        <v/>
      </c>
    </row>
    <row r="298">
      <c r="A298" s="43" t="n">
        <v>288</v>
      </c>
      <c r="B298" s="38">
        <f>Inputs!$B$6</f>
        <v/>
      </c>
      <c r="C298" s="38">
        <f>C297*(1+Inputs!$B$18)+Inputs!$B$6</f>
        <v/>
      </c>
      <c r="D298" s="38">
        <f>D297*(1+Inputs!$B$23)+Inputs!$B$6</f>
        <v/>
      </c>
      <c r="E298" s="38">
        <f>E297*(1+Inputs!$B$24)+Inputs!$B$6</f>
        <v/>
      </c>
    </row>
    <row r="299">
      <c r="A299" s="43" t="n">
        <v>289</v>
      </c>
      <c r="B299" s="38">
        <f>Inputs!$B$6</f>
        <v/>
      </c>
      <c r="C299" s="38">
        <f>C298*(1+Inputs!$B$18)+Inputs!$B$6</f>
        <v/>
      </c>
      <c r="D299" s="38">
        <f>D298*(1+Inputs!$B$23)+Inputs!$B$6</f>
        <v/>
      </c>
      <c r="E299" s="38">
        <f>E298*(1+Inputs!$B$24)+Inputs!$B$6</f>
        <v/>
      </c>
    </row>
    <row r="300">
      <c r="A300" s="43" t="n">
        <v>290</v>
      </c>
      <c r="B300" s="38">
        <f>Inputs!$B$6</f>
        <v/>
      </c>
      <c r="C300" s="38">
        <f>C299*(1+Inputs!$B$18)+Inputs!$B$6</f>
        <v/>
      </c>
      <c r="D300" s="38">
        <f>D299*(1+Inputs!$B$23)+Inputs!$B$6</f>
        <v/>
      </c>
      <c r="E300" s="38">
        <f>E299*(1+Inputs!$B$24)+Inputs!$B$6</f>
        <v/>
      </c>
    </row>
    <row r="301">
      <c r="A301" s="43" t="n">
        <v>291</v>
      </c>
      <c r="B301" s="38">
        <f>Inputs!$B$6</f>
        <v/>
      </c>
      <c r="C301" s="38">
        <f>C300*(1+Inputs!$B$18)+Inputs!$B$6</f>
        <v/>
      </c>
      <c r="D301" s="38">
        <f>D300*(1+Inputs!$B$23)+Inputs!$B$6</f>
        <v/>
      </c>
      <c r="E301" s="38">
        <f>E300*(1+Inputs!$B$24)+Inputs!$B$6</f>
        <v/>
      </c>
    </row>
    <row r="302">
      <c r="A302" s="43" t="n">
        <v>292</v>
      </c>
      <c r="B302" s="38">
        <f>Inputs!$B$6</f>
        <v/>
      </c>
      <c r="C302" s="38">
        <f>C301*(1+Inputs!$B$18)+Inputs!$B$6</f>
        <v/>
      </c>
      <c r="D302" s="38">
        <f>D301*(1+Inputs!$B$23)+Inputs!$B$6</f>
        <v/>
      </c>
      <c r="E302" s="38">
        <f>E301*(1+Inputs!$B$24)+Inputs!$B$6</f>
        <v/>
      </c>
    </row>
    <row r="303">
      <c r="A303" s="43" t="n">
        <v>293</v>
      </c>
      <c r="B303" s="38">
        <f>Inputs!$B$6</f>
        <v/>
      </c>
      <c r="C303" s="38">
        <f>C302*(1+Inputs!$B$18)+Inputs!$B$6</f>
        <v/>
      </c>
      <c r="D303" s="38">
        <f>D302*(1+Inputs!$B$23)+Inputs!$B$6</f>
        <v/>
      </c>
      <c r="E303" s="38">
        <f>E302*(1+Inputs!$B$24)+Inputs!$B$6</f>
        <v/>
      </c>
    </row>
    <row r="304">
      <c r="A304" s="43" t="n">
        <v>294</v>
      </c>
      <c r="B304" s="38">
        <f>Inputs!$B$6</f>
        <v/>
      </c>
      <c r="C304" s="38">
        <f>C303*(1+Inputs!$B$18)+Inputs!$B$6</f>
        <v/>
      </c>
      <c r="D304" s="38">
        <f>D303*(1+Inputs!$B$23)+Inputs!$B$6</f>
        <v/>
      </c>
      <c r="E304" s="38">
        <f>E303*(1+Inputs!$B$24)+Inputs!$B$6</f>
        <v/>
      </c>
    </row>
    <row r="305">
      <c r="A305" s="43" t="n">
        <v>295</v>
      </c>
      <c r="B305" s="38">
        <f>Inputs!$B$6</f>
        <v/>
      </c>
      <c r="C305" s="38">
        <f>C304*(1+Inputs!$B$18)+Inputs!$B$6</f>
        <v/>
      </c>
      <c r="D305" s="38">
        <f>D304*(1+Inputs!$B$23)+Inputs!$B$6</f>
        <v/>
      </c>
      <c r="E305" s="38">
        <f>E304*(1+Inputs!$B$24)+Inputs!$B$6</f>
        <v/>
      </c>
    </row>
    <row r="306">
      <c r="A306" s="43" t="n">
        <v>296</v>
      </c>
      <c r="B306" s="38">
        <f>Inputs!$B$6</f>
        <v/>
      </c>
      <c r="C306" s="38">
        <f>C305*(1+Inputs!$B$18)+Inputs!$B$6</f>
        <v/>
      </c>
      <c r="D306" s="38">
        <f>D305*(1+Inputs!$B$23)+Inputs!$B$6</f>
        <v/>
      </c>
      <c r="E306" s="38">
        <f>E305*(1+Inputs!$B$24)+Inputs!$B$6</f>
        <v/>
      </c>
    </row>
    <row r="307">
      <c r="A307" s="43" t="n">
        <v>297</v>
      </c>
      <c r="B307" s="38">
        <f>Inputs!$B$6</f>
        <v/>
      </c>
      <c r="C307" s="38">
        <f>C306*(1+Inputs!$B$18)+Inputs!$B$6</f>
        <v/>
      </c>
      <c r="D307" s="38">
        <f>D306*(1+Inputs!$B$23)+Inputs!$B$6</f>
        <v/>
      </c>
      <c r="E307" s="38">
        <f>E306*(1+Inputs!$B$24)+Inputs!$B$6</f>
        <v/>
      </c>
    </row>
    <row r="308">
      <c r="A308" s="43" t="n">
        <v>298</v>
      </c>
      <c r="B308" s="38">
        <f>Inputs!$B$6</f>
        <v/>
      </c>
      <c r="C308" s="38">
        <f>C307*(1+Inputs!$B$18)+Inputs!$B$6</f>
        <v/>
      </c>
      <c r="D308" s="38">
        <f>D307*(1+Inputs!$B$23)+Inputs!$B$6</f>
        <v/>
      </c>
      <c r="E308" s="38">
        <f>E307*(1+Inputs!$B$24)+Inputs!$B$6</f>
        <v/>
      </c>
    </row>
    <row r="309">
      <c r="A309" s="43" t="n">
        <v>299</v>
      </c>
      <c r="B309" s="38">
        <f>Inputs!$B$6</f>
        <v/>
      </c>
      <c r="C309" s="38">
        <f>C308*(1+Inputs!$B$18)+Inputs!$B$6</f>
        <v/>
      </c>
      <c r="D309" s="38">
        <f>D308*(1+Inputs!$B$23)+Inputs!$B$6</f>
        <v/>
      </c>
      <c r="E309" s="38">
        <f>E308*(1+Inputs!$B$24)+Inputs!$B$6</f>
        <v/>
      </c>
    </row>
    <row r="310">
      <c r="A310" s="43" t="n">
        <v>300</v>
      </c>
      <c r="B310" s="38">
        <f>Inputs!$B$6</f>
        <v/>
      </c>
      <c r="C310" s="38">
        <f>C309*(1+Inputs!$B$18)+Inputs!$B$6</f>
        <v/>
      </c>
      <c r="D310" s="38">
        <f>D309*(1+Inputs!$B$23)+Inputs!$B$6</f>
        <v/>
      </c>
      <c r="E310" s="38">
        <f>E309*(1+Inputs!$B$24)+Inputs!$B$6</f>
        <v/>
      </c>
    </row>
    <row r="311">
      <c r="A311" s="43" t="n">
        <v>301</v>
      </c>
      <c r="B311" s="38">
        <f>Inputs!$B$6</f>
        <v/>
      </c>
      <c r="C311" s="38">
        <f>C310*(1+Inputs!$B$18)+Inputs!$B$6</f>
        <v/>
      </c>
      <c r="D311" s="38">
        <f>D310*(1+Inputs!$B$23)+Inputs!$B$6</f>
        <v/>
      </c>
      <c r="E311" s="38">
        <f>E310*(1+Inputs!$B$24)+Inputs!$B$6</f>
        <v/>
      </c>
    </row>
    <row r="312">
      <c r="A312" s="43" t="n">
        <v>302</v>
      </c>
      <c r="B312" s="38">
        <f>Inputs!$B$6</f>
        <v/>
      </c>
      <c r="C312" s="38">
        <f>C311*(1+Inputs!$B$18)+Inputs!$B$6</f>
        <v/>
      </c>
      <c r="D312" s="38">
        <f>D311*(1+Inputs!$B$23)+Inputs!$B$6</f>
        <v/>
      </c>
      <c r="E312" s="38">
        <f>E311*(1+Inputs!$B$24)+Inputs!$B$6</f>
        <v/>
      </c>
    </row>
    <row r="313">
      <c r="A313" s="43" t="n">
        <v>303</v>
      </c>
      <c r="B313" s="38">
        <f>Inputs!$B$6</f>
        <v/>
      </c>
      <c r="C313" s="38">
        <f>C312*(1+Inputs!$B$18)+Inputs!$B$6</f>
        <v/>
      </c>
      <c r="D313" s="38">
        <f>D312*(1+Inputs!$B$23)+Inputs!$B$6</f>
        <v/>
      </c>
      <c r="E313" s="38">
        <f>E312*(1+Inputs!$B$24)+Inputs!$B$6</f>
        <v/>
      </c>
    </row>
    <row r="314">
      <c r="A314" s="43" t="n">
        <v>304</v>
      </c>
      <c r="B314" s="38">
        <f>Inputs!$B$6</f>
        <v/>
      </c>
      <c r="C314" s="38">
        <f>C313*(1+Inputs!$B$18)+Inputs!$B$6</f>
        <v/>
      </c>
      <c r="D314" s="38">
        <f>D313*(1+Inputs!$B$23)+Inputs!$B$6</f>
        <v/>
      </c>
      <c r="E314" s="38">
        <f>E313*(1+Inputs!$B$24)+Inputs!$B$6</f>
        <v/>
      </c>
    </row>
    <row r="315">
      <c r="A315" s="43" t="n">
        <v>305</v>
      </c>
      <c r="B315" s="38">
        <f>Inputs!$B$6</f>
        <v/>
      </c>
      <c r="C315" s="38">
        <f>C314*(1+Inputs!$B$18)+Inputs!$B$6</f>
        <v/>
      </c>
      <c r="D315" s="38">
        <f>D314*(1+Inputs!$B$23)+Inputs!$B$6</f>
        <v/>
      </c>
      <c r="E315" s="38">
        <f>E314*(1+Inputs!$B$24)+Inputs!$B$6</f>
        <v/>
      </c>
    </row>
    <row r="316">
      <c r="A316" s="43" t="n">
        <v>306</v>
      </c>
      <c r="B316" s="38">
        <f>Inputs!$B$6</f>
        <v/>
      </c>
      <c r="C316" s="38">
        <f>C315*(1+Inputs!$B$18)+Inputs!$B$6</f>
        <v/>
      </c>
      <c r="D316" s="38">
        <f>D315*(1+Inputs!$B$23)+Inputs!$B$6</f>
        <v/>
      </c>
      <c r="E316" s="38">
        <f>E315*(1+Inputs!$B$24)+Inputs!$B$6</f>
        <v/>
      </c>
    </row>
    <row r="317">
      <c r="A317" s="43" t="n">
        <v>307</v>
      </c>
      <c r="B317" s="38">
        <f>Inputs!$B$6</f>
        <v/>
      </c>
      <c r="C317" s="38">
        <f>C316*(1+Inputs!$B$18)+Inputs!$B$6</f>
        <v/>
      </c>
      <c r="D317" s="38">
        <f>D316*(1+Inputs!$B$23)+Inputs!$B$6</f>
        <v/>
      </c>
      <c r="E317" s="38">
        <f>E316*(1+Inputs!$B$24)+Inputs!$B$6</f>
        <v/>
      </c>
    </row>
    <row r="318">
      <c r="A318" s="43" t="n">
        <v>308</v>
      </c>
      <c r="B318" s="38">
        <f>Inputs!$B$6</f>
        <v/>
      </c>
      <c r="C318" s="38">
        <f>C317*(1+Inputs!$B$18)+Inputs!$B$6</f>
        <v/>
      </c>
      <c r="D318" s="38">
        <f>D317*(1+Inputs!$B$23)+Inputs!$B$6</f>
        <v/>
      </c>
      <c r="E318" s="38">
        <f>E317*(1+Inputs!$B$24)+Inputs!$B$6</f>
        <v/>
      </c>
    </row>
    <row r="319">
      <c r="A319" s="43" t="n">
        <v>309</v>
      </c>
      <c r="B319" s="38">
        <f>Inputs!$B$6</f>
        <v/>
      </c>
      <c r="C319" s="38">
        <f>C318*(1+Inputs!$B$18)+Inputs!$B$6</f>
        <v/>
      </c>
      <c r="D319" s="38">
        <f>D318*(1+Inputs!$B$23)+Inputs!$B$6</f>
        <v/>
      </c>
      <c r="E319" s="38">
        <f>E318*(1+Inputs!$B$24)+Inputs!$B$6</f>
        <v/>
      </c>
    </row>
    <row r="320">
      <c r="A320" s="43" t="n">
        <v>310</v>
      </c>
      <c r="B320" s="38">
        <f>Inputs!$B$6</f>
        <v/>
      </c>
      <c r="C320" s="38">
        <f>C319*(1+Inputs!$B$18)+Inputs!$B$6</f>
        <v/>
      </c>
      <c r="D320" s="38">
        <f>D319*(1+Inputs!$B$23)+Inputs!$B$6</f>
        <v/>
      </c>
      <c r="E320" s="38">
        <f>E319*(1+Inputs!$B$24)+Inputs!$B$6</f>
        <v/>
      </c>
    </row>
    <row r="321">
      <c r="A321" s="43" t="n">
        <v>311</v>
      </c>
      <c r="B321" s="38">
        <f>Inputs!$B$6</f>
        <v/>
      </c>
      <c r="C321" s="38">
        <f>C320*(1+Inputs!$B$18)+Inputs!$B$6</f>
        <v/>
      </c>
      <c r="D321" s="38">
        <f>D320*(1+Inputs!$B$23)+Inputs!$B$6</f>
        <v/>
      </c>
      <c r="E321" s="38">
        <f>E320*(1+Inputs!$B$24)+Inputs!$B$6</f>
        <v/>
      </c>
    </row>
    <row r="322">
      <c r="A322" s="43" t="n">
        <v>312</v>
      </c>
      <c r="B322" s="38">
        <f>Inputs!$B$6</f>
        <v/>
      </c>
      <c r="C322" s="38">
        <f>C321*(1+Inputs!$B$18)+Inputs!$B$6</f>
        <v/>
      </c>
      <c r="D322" s="38">
        <f>D321*(1+Inputs!$B$23)+Inputs!$B$6</f>
        <v/>
      </c>
      <c r="E322" s="38">
        <f>E321*(1+Inputs!$B$24)+Inputs!$B$6</f>
        <v/>
      </c>
    </row>
    <row r="323">
      <c r="A323" s="43" t="n">
        <v>313</v>
      </c>
      <c r="B323" s="38">
        <f>Inputs!$B$6</f>
        <v/>
      </c>
      <c r="C323" s="38">
        <f>C322*(1+Inputs!$B$18)+Inputs!$B$6</f>
        <v/>
      </c>
      <c r="D323" s="38">
        <f>D322*(1+Inputs!$B$23)+Inputs!$B$6</f>
        <v/>
      </c>
      <c r="E323" s="38">
        <f>E322*(1+Inputs!$B$24)+Inputs!$B$6</f>
        <v/>
      </c>
    </row>
    <row r="324">
      <c r="A324" s="43" t="n">
        <v>314</v>
      </c>
      <c r="B324" s="38">
        <f>Inputs!$B$6</f>
        <v/>
      </c>
      <c r="C324" s="38">
        <f>C323*(1+Inputs!$B$18)+Inputs!$B$6</f>
        <v/>
      </c>
      <c r="D324" s="38">
        <f>D323*(1+Inputs!$B$23)+Inputs!$B$6</f>
        <v/>
      </c>
      <c r="E324" s="38">
        <f>E323*(1+Inputs!$B$24)+Inputs!$B$6</f>
        <v/>
      </c>
    </row>
    <row r="325">
      <c r="A325" s="43" t="n">
        <v>315</v>
      </c>
      <c r="B325" s="38">
        <f>Inputs!$B$6</f>
        <v/>
      </c>
      <c r="C325" s="38">
        <f>C324*(1+Inputs!$B$18)+Inputs!$B$6</f>
        <v/>
      </c>
      <c r="D325" s="38">
        <f>D324*(1+Inputs!$B$23)+Inputs!$B$6</f>
        <v/>
      </c>
      <c r="E325" s="38">
        <f>E324*(1+Inputs!$B$24)+Inputs!$B$6</f>
        <v/>
      </c>
    </row>
    <row r="326">
      <c r="A326" s="43" t="n">
        <v>316</v>
      </c>
      <c r="B326" s="38">
        <f>Inputs!$B$6</f>
        <v/>
      </c>
      <c r="C326" s="38">
        <f>C325*(1+Inputs!$B$18)+Inputs!$B$6</f>
        <v/>
      </c>
      <c r="D326" s="38">
        <f>D325*(1+Inputs!$B$23)+Inputs!$B$6</f>
        <v/>
      </c>
      <c r="E326" s="38">
        <f>E325*(1+Inputs!$B$24)+Inputs!$B$6</f>
        <v/>
      </c>
    </row>
    <row r="327">
      <c r="A327" s="43" t="n">
        <v>317</v>
      </c>
      <c r="B327" s="38">
        <f>Inputs!$B$6</f>
        <v/>
      </c>
      <c r="C327" s="38">
        <f>C326*(1+Inputs!$B$18)+Inputs!$B$6</f>
        <v/>
      </c>
      <c r="D327" s="38">
        <f>D326*(1+Inputs!$B$23)+Inputs!$B$6</f>
        <v/>
      </c>
      <c r="E327" s="38">
        <f>E326*(1+Inputs!$B$24)+Inputs!$B$6</f>
        <v/>
      </c>
    </row>
    <row r="328">
      <c r="A328" s="43" t="n">
        <v>318</v>
      </c>
      <c r="B328" s="38">
        <f>Inputs!$B$6</f>
        <v/>
      </c>
      <c r="C328" s="38">
        <f>C327*(1+Inputs!$B$18)+Inputs!$B$6</f>
        <v/>
      </c>
      <c r="D328" s="38">
        <f>D327*(1+Inputs!$B$23)+Inputs!$B$6</f>
        <v/>
      </c>
      <c r="E328" s="38">
        <f>E327*(1+Inputs!$B$24)+Inputs!$B$6</f>
        <v/>
      </c>
    </row>
    <row r="329">
      <c r="A329" s="43" t="n">
        <v>319</v>
      </c>
      <c r="B329" s="38">
        <f>Inputs!$B$6</f>
        <v/>
      </c>
      <c r="C329" s="38">
        <f>C328*(1+Inputs!$B$18)+Inputs!$B$6</f>
        <v/>
      </c>
      <c r="D329" s="38">
        <f>D328*(1+Inputs!$B$23)+Inputs!$B$6</f>
        <v/>
      </c>
      <c r="E329" s="38">
        <f>E328*(1+Inputs!$B$24)+Inputs!$B$6</f>
        <v/>
      </c>
    </row>
    <row r="330">
      <c r="A330" s="43" t="n">
        <v>320</v>
      </c>
      <c r="B330" s="38">
        <f>Inputs!$B$6</f>
        <v/>
      </c>
      <c r="C330" s="38">
        <f>C329*(1+Inputs!$B$18)+Inputs!$B$6</f>
        <v/>
      </c>
      <c r="D330" s="38">
        <f>D329*(1+Inputs!$B$23)+Inputs!$B$6</f>
        <v/>
      </c>
      <c r="E330" s="38">
        <f>E329*(1+Inputs!$B$24)+Inputs!$B$6</f>
        <v/>
      </c>
    </row>
    <row r="331">
      <c r="A331" s="43" t="n">
        <v>321</v>
      </c>
      <c r="B331" s="38">
        <f>Inputs!$B$6</f>
        <v/>
      </c>
      <c r="C331" s="38">
        <f>C330*(1+Inputs!$B$18)+Inputs!$B$6</f>
        <v/>
      </c>
      <c r="D331" s="38">
        <f>D330*(1+Inputs!$B$23)+Inputs!$B$6</f>
        <v/>
      </c>
      <c r="E331" s="38">
        <f>E330*(1+Inputs!$B$24)+Inputs!$B$6</f>
        <v/>
      </c>
    </row>
    <row r="332">
      <c r="A332" s="43" t="n">
        <v>322</v>
      </c>
      <c r="B332" s="38">
        <f>Inputs!$B$6</f>
        <v/>
      </c>
      <c r="C332" s="38">
        <f>C331*(1+Inputs!$B$18)+Inputs!$B$6</f>
        <v/>
      </c>
      <c r="D332" s="38">
        <f>D331*(1+Inputs!$B$23)+Inputs!$B$6</f>
        <v/>
      </c>
      <c r="E332" s="38">
        <f>E331*(1+Inputs!$B$24)+Inputs!$B$6</f>
        <v/>
      </c>
    </row>
    <row r="333">
      <c r="A333" s="43" t="n">
        <v>323</v>
      </c>
      <c r="B333" s="38">
        <f>Inputs!$B$6</f>
        <v/>
      </c>
      <c r="C333" s="38">
        <f>C332*(1+Inputs!$B$18)+Inputs!$B$6</f>
        <v/>
      </c>
      <c r="D333" s="38">
        <f>D332*(1+Inputs!$B$23)+Inputs!$B$6</f>
        <v/>
      </c>
      <c r="E333" s="38">
        <f>E332*(1+Inputs!$B$24)+Inputs!$B$6</f>
        <v/>
      </c>
    </row>
    <row r="334">
      <c r="A334" s="43" t="n">
        <v>324</v>
      </c>
      <c r="B334" s="38">
        <f>Inputs!$B$6</f>
        <v/>
      </c>
      <c r="C334" s="38">
        <f>C333*(1+Inputs!$B$18)+Inputs!$B$6</f>
        <v/>
      </c>
      <c r="D334" s="38">
        <f>D333*(1+Inputs!$B$23)+Inputs!$B$6</f>
        <v/>
      </c>
      <c r="E334" s="38">
        <f>E333*(1+Inputs!$B$24)+Inputs!$B$6</f>
        <v/>
      </c>
    </row>
    <row r="335">
      <c r="A335" s="43" t="n">
        <v>325</v>
      </c>
      <c r="B335" s="38">
        <f>Inputs!$B$6</f>
        <v/>
      </c>
      <c r="C335" s="38">
        <f>C334*(1+Inputs!$B$18)+Inputs!$B$6</f>
        <v/>
      </c>
      <c r="D335" s="38">
        <f>D334*(1+Inputs!$B$23)+Inputs!$B$6</f>
        <v/>
      </c>
      <c r="E335" s="38">
        <f>E334*(1+Inputs!$B$24)+Inputs!$B$6</f>
        <v/>
      </c>
    </row>
    <row r="336">
      <c r="A336" s="43" t="n">
        <v>326</v>
      </c>
      <c r="B336" s="38">
        <f>Inputs!$B$6</f>
        <v/>
      </c>
      <c r="C336" s="38">
        <f>C335*(1+Inputs!$B$18)+Inputs!$B$6</f>
        <v/>
      </c>
      <c r="D336" s="38">
        <f>D335*(1+Inputs!$B$23)+Inputs!$B$6</f>
        <v/>
      </c>
      <c r="E336" s="38">
        <f>E335*(1+Inputs!$B$24)+Inputs!$B$6</f>
        <v/>
      </c>
    </row>
    <row r="337">
      <c r="A337" s="43" t="n">
        <v>327</v>
      </c>
      <c r="B337" s="38">
        <f>Inputs!$B$6</f>
        <v/>
      </c>
      <c r="C337" s="38">
        <f>C336*(1+Inputs!$B$18)+Inputs!$B$6</f>
        <v/>
      </c>
      <c r="D337" s="38">
        <f>D336*(1+Inputs!$B$23)+Inputs!$B$6</f>
        <v/>
      </c>
      <c r="E337" s="38">
        <f>E336*(1+Inputs!$B$24)+Inputs!$B$6</f>
        <v/>
      </c>
    </row>
    <row r="338">
      <c r="A338" s="43" t="n">
        <v>328</v>
      </c>
      <c r="B338" s="38">
        <f>Inputs!$B$6</f>
        <v/>
      </c>
      <c r="C338" s="38">
        <f>C337*(1+Inputs!$B$18)+Inputs!$B$6</f>
        <v/>
      </c>
      <c r="D338" s="38">
        <f>D337*(1+Inputs!$B$23)+Inputs!$B$6</f>
        <v/>
      </c>
      <c r="E338" s="38">
        <f>E337*(1+Inputs!$B$24)+Inputs!$B$6</f>
        <v/>
      </c>
    </row>
    <row r="339">
      <c r="A339" s="43" t="n">
        <v>329</v>
      </c>
      <c r="B339" s="38">
        <f>Inputs!$B$6</f>
        <v/>
      </c>
      <c r="C339" s="38">
        <f>C338*(1+Inputs!$B$18)+Inputs!$B$6</f>
        <v/>
      </c>
      <c r="D339" s="38">
        <f>D338*(1+Inputs!$B$23)+Inputs!$B$6</f>
        <v/>
      </c>
      <c r="E339" s="38">
        <f>E338*(1+Inputs!$B$24)+Inputs!$B$6</f>
        <v/>
      </c>
    </row>
    <row r="340">
      <c r="A340" s="43" t="n">
        <v>330</v>
      </c>
      <c r="B340" s="38">
        <f>Inputs!$B$6</f>
        <v/>
      </c>
      <c r="C340" s="38">
        <f>C339*(1+Inputs!$B$18)+Inputs!$B$6</f>
        <v/>
      </c>
      <c r="D340" s="38">
        <f>D339*(1+Inputs!$B$23)+Inputs!$B$6</f>
        <v/>
      </c>
      <c r="E340" s="38">
        <f>E339*(1+Inputs!$B$24)+Inputs!$B$6</f>
        <v/>
      </c>
    </row>
    <row r="341">
      <c r="A341" s="43" t="n">
        <v>331</v>
      </c>
      <c r="B341" s="38">
        <f>Inputs!$B$6</f>
        <v/>
      </c>
      <c r="C341" s="38">
        <f>C340*(1+Inputs!$B$18)+Inputs!$B$6</f>
        <v/>
      </c>
      <c r="D341" s="38">
        <f>D340*(1+Inputs!$B$23)+Inputs!$B$6</f>
        <v/>
      </c>
      <c r="E341" s="38">
        <f>E340*(1+Inputs!$B$24)+Inputs!$B$6</f>
        <v/>
      </c>
    </row>
    <row r="342">
      <c r="A342" s="43" t="n">
        <v>332</v>
      </c>
      <c r="B342" s="38">
        <f>Inputs!$B$6</f>
        <v/>
      </c>
      <c r="C342" s="38">
        <f>C341*(1+Inputs!$B$18)+Inputs!$B$6</f>
        <v/>
      </c>
      <c r="D342" s="38">
        <f>D341*(1+Inputs!$B$23)+Inputs!$B$6</f>
        <v/>
      </c>
      <c r="E342" s="38">
        <f>E341*(1+Inputs!$B$24)+Inputs!$B$6</f>
        <v/>
      </c>
    </row>
    <row r="343">
      <c r="A343" s="43" t="n">
        <v>333</v>
      </c>
      <c r="B343" s="38">
        <f>Inputs!$B$6</f>
        <v/>
      </c>
      <c r="C343" s="38">
        <f>C342*(1+Inputs!$B$18)+Inputs!$B$6</f>
        <v/>
      </c>
      <c r="D343" s="38">
        <f>D342*(1+Inputs!$B$23)+Inputs!$B$6</f>
        <v/>
      </c>
      <c r="E343" s="38">
        <f>E342*(1+Inputs!$B$24)+Inputs!$B$6</f>
        <v/>
      </c>
    </row>
    <row r="344">
      <c r="A344" s="43" t="n">
        <v>334</v>
      </c>
      <c r="B344" s="38">
        <f>Inputs!$B$6</f>
        <v/>
      </c>
      <c r="C344" s="38">
        <f>C343*(1+Inputs!$B$18)+Inputs!$B$6</f>
        <v/>
      </c>
      <c r="D344" s="38">
        <f>D343*(1+Inputs!$B$23)+Inputs!$B$6</f>
        <v/>
      </c>
      <c r="E344" s="38">
        <f>E343*(1+Inputs!$B$24)+Inputs!$B$6</f>
        <v/>
      </c>
    </row>
    <row r="345">
      <c r="A345" s="43" t="n">
        <v>335</v>
      </c>
      <c r="B345" s="38">
        <f>Inputs!$B$6</f>
        <v/>
      </c>
      <c r="C345" s="38">
        <f>C344*(1+Inputs!$B$18)+Inputs!$B$6</f>
        <v/>
      </c>
      <c r="D345" s="38">
        <f>D344*(1+Inputs!$B$23)+Inputs!$B$6</f>
        <v/>
      </c>
      <c r="E345" s="38">
        <f>E344*(1+Inputs!$B$24)+Inputs!$B$6</f>
        <v/>
      </c>
    </row>
    <row r="346">
      <c r="A346" s="43" t="n">
        <v>336</v>
      </c>
      <c r="B346" s="38">
        <f>Inputs!$B$6</f>
        <v/>
      </c>
      <c r="C346" s="38">
        <f>C345*(1+Inputs!$B$18)+Inputs!$B$6</f>
        <v/>
      </c>
      <c r="D346" s="38">
        <f>D345*(1+Inputs!$B$23)+Inputs!$B$6</f>
        <v/>
      </c>
      <c r="E346" s="38">
        <f>E345*(1+Inputs!$B$24)+Inputs!$B$6</f>
        <v/>
      </c>
    </row>
    <row r="347">
      <c r="A347" s="43" t="n">
        <v>337</v>
      </c>
      <c r="B347" s="38">
        <f>Inputs!$B$6</f>
        <v/>
      </c>
      <c r="C347" s="38">
        <f>C346*(1+Inputs!$B$18)+Inputs!$B$6</f>
        <v/>
      </c>
      <c r="D347" s="38">
        <f>D346*(1+Inputs!$B$23)+Inputs!$B$6</f>
        <v/>
      </c>
      <c r="E347" s="38">
        <f>E346*(1+Inputs!$B$24)+Inputs!$B$6</f>
        <v/>
      </c>
    </row>
    <row r="348">
      <c r="A348" s="43" t="n">
        <v>338</v>
      </c>
      <c r="B348" s="38">
        <f>Inputs!$B$6</f>
        <v/>
      </c>
      <c r="C348" s="38">
        <f>C347*(1+Inputs!$B$18)+Inputs!$B$6</f>
        <v/>
      </c>
      <c r="D348" s="38">
        <f>D347*(1+Inputs!$B$23)+Inputs!$B$6</f>
        <v/>
      </c>
      <c r="E348" s="38">
        <f>E347*(1+Inputs!$B$24)+Inputs!$B$6</f>
        <v/>
      </c>
    </row>
    <row r="349">
      <c r="A349" s="43" t="n">
        <v>339</v>
      </c>
      <c r="B349" s="38">
        <f>Inputs!$B$6</f>
        <v/>
      </c>
      <c r="C349" s="38">
        <f>C348*(1+Inputs!$B$18)+Inputs!$B$6</f>
        <v/>
      </c>
      <c r="D349" s="38">
        <f>D348*(1+Inputs!$B$23)+Inputs!$B$6</f>
        <v/>
      </c>
      <c r="E349" s="38">
        <f>E348*(1+Inputs!$B$24)+Inputs!$B$6</f>
        <v/>
      </c>
    </row>
    <row r="350">
      <c r="A350" s="43" t="n">
        <v>340</v>
      </c>
      <c r="B350" s="38">
        <f>Inputs!$B$6</f>
        <v/>
      </c>
      <c r="C350" s="38">
        <f>C349*(1+Inputs!$B$18)+Inputs!$B$6</f>
        <v/>
      </c>
      <c r="D350" s="38">
        <f>D349*(1+Inputs!$B$23)+Inputs!$B$6</f>
        <v/>
      </c>
      <c r="E350" s="38">
        <f>E349*(1+Inputs!$B$24)+Inputs!$B$6</f>
        <v/>
      </c>
    </row>
    <row r="351">
      <c r="A351" s="43" t="n">
        <v>341</v>
      </c>
      <c r="B351" s="38">
        <f>Inputs!$B$6</f>
        <v/>
      </c>
      <c r="C351" s="38">
        <f>C350*(1+Inputs!$B$18)+Inputs!$B$6</f>
        <v/>
      </c>
      <c r="D351" s="38">
        <f>D350*(1+Inputs!$B$23)+Inputs!$B$6</f>
        <v/>
      </c>
      <c r="E351" s="38">
        <f>E350*(1+Inputs!$B$24)+Inputs!$B$6</f>
        <v/>
      </c>
    </row>
    <row r="352">
      <c r="A352" s="43" t="n">
        <v>342</v>
      </c>
      <c r="B352" s="38">
        <f>Inputs!$B$6</f>
        <v/>
      </c>
      <c r="C352" s="38">
        <f>C351*(1+Inputs!$B$18)+Inputs!$B$6</f>
        <v/>
      </c>
      <c r="D352" s="38">
        <f>D351*(1+Inputs!$B$23)+Inputs!$B$6</f>
        <v/>
      </c>
      <c r="E352" s="38">
        <f>E351*(1+Inputs!$B$24)+Inputs!$B$6</f>
        <v/>
      </c>
    </row>
    <row r="353">
      <c r="A353" s="43" t="n">
        <v>343</v>
      </c>
      <c r="B353" s="38">
        <f>Inputs!$B$6</f>
        <v/>
      </c>
      <c r="C353" s="38">
        <f>C352*(1+Inputs!$B$18)+Inputs!$B$6</f>
        <v/>
      </c>
      <c r="D353" s="38">
        <f>D352*(1+Inputs!$B$23)+Inputs!$B$6</f>
        <v/>
      </c>
      <c r="E353" s="38">
        <f>E352*(1+Inputs!$B$24)+Inputs!$B$6</f>
        <v/>
      </c>
    </row>
    <row r="354">
      <c r="A354" s="43" t="n">
        <v>344</v>
      </c>
      <c r="B354" s="38">
        <f>Inputs!$B$6</f>
        <v/>
      </c>
      <c r="C354" s="38">
        <f>C353*(1+Inputs!$B$18)+Inputs!$B$6</f>
        <v/>
      </c>
      <c r="D354" s="38">
        <f>D353*(1+Inputs!$B$23)+Inputs!$B$6</f>
        <v/>
      </c>
      <c r="E354" s="38">
        <f>E353*(1+Inputs!$B$24)+Inputs!$B$6</f>
        <v/>
      </c>
    </row>
    <row r="355">
      <c r="A355" s="43" t="n">
        <v>345</v>
      </c>
      <c r="B355" s="38">
        <f>Inputs!$B$6</f>
        <v/>
      </c>
      <c r="C355" s="38">
        <f>C354*(1+Inputs!$B$18)+Inputs!$B$6</f>
        <v/>
      </c>
      <c r="D355" s="38">
        <f>D354*(1+Inputs!$B$23)+Inputs!$B$6</f>
        <v/>
      </c>
      <c r="E355" s="38">
        <f>E354*(1+Inputs!$B$24)+Inputs!$B$6</f>
        <v/>
      </c>
    </row>
    <row r="356">
      <c r="A356" s="43" t="n">
        <v>346</v>
      </c>
      <c r="B356" s="38">
        <f>Inputs!$B$6</f>
        <v/>
      </c>
      <c r="C356" s="38">
        <f>C355*(1+Inputs!$B$18)+Inputs!$B$6</f>
        <v/>
      </c>
      <c r="D356" s="38">
        <f>D355*(1+Inputs!$B$23)+Inputs!$B$6</f>
        <v/>
      </c>
      <c r="E356" s="38">
        <f>E355*(1+Inputs!$B$24)+Inputs!$B$6</f>
        <v/>
      </c>
    </row>
    <row r="357">
      <c r="A357" s="43" t="n">
        <v>347</v>
      </c>
      <c r="B357" s="38">
        <f>Inputs!$B$6</f>
        <v/>
      </c>
      <c r="C357" s="38">
        <f>C356*(1+Inputs!$B$18)+Inputs!$B$6</f>
        <v/>
      </c>
      <c r="D357" s="38">
        <f>D356*(1+Inputs!$B$23)+Inputs!$B$6</f>
        <v/>
      </c>
      <c r="E357" s="38">
        <f>E356*(1+Inputs!$B$24)+Inputs!$B$6</f>
        <v/>
      </c>
    </row>
    <row r="358">
      <c r="A358" s="43" t="n">
        <v>348</v>
      </c>
      <c r="B358" s="38">
        <f>Inputs!$B$6</f>
        <v/>
      </c>
      <c r="C358" s="38">
        <f>C357*(1+Inputs!$B$18)+Inputs!$B$6</f>
        <v/>
      </c>
      <c r="D358" s="38">
        <f>D357*(1+Inputs!$B$23)+Inputs!$B$6</f>
        <v/>
      </c>
      <c r="E358" s="38">
        <f>E357*(1+Inputs!$B$24)+Inputs!$B$6</f>
        <v/>
      </c>
    </row>
    <row r="359">
      <c r="A359" s="43" t="n">
        <v>349</v>
      </c>
      <c r="B359" s="38">
        <f>Inputs!$B$6</f>
        <v/>
      </c>
      <c r="C359" s="38">
        <f>C358*(1+Inputs!$B$18)+Inputs!$B$6</f>
        <v/>
      </c>
      <c r="D359" s="38">
        <f>D358*(1+Inputs!$B$23)+Inputs!$B$6</f>
        <v/>
      </c>
      <c r="E359" s="38">
        <f>E358*(1+Inputs!$B$24)+Inputs!$B$6</f>
        <v/>
      </c>
    </row>
    <row r="360">
      <c r="A360" s="43" t="n">
        <v>350</v>
      </c>
      <c r="B360" s="38">
        <f>Inputs!$B$6</f>
        <v/>
      </c>
      <c r="C360" s="38">
        <f>C359*(1+Inputs!$B$18)+Inputs!$B$6</f>
        <v/>
      </c>
      <c r="D360" s="38">
        <f>D359*(1+Inputs!$B$23)+Inputs!$B$6</f>
        <v/>
      </c>
      <c r="E360" s="38">
        <f>E359*(1+Inputs!$B$24)+Inputs!$B$6</f>
        <v/>
      </c>
    </row>
    <row r="361">
      <c r="A361" s="43" t="n">
        <v>351</v>
      </c>
      <c r="B361" s="38">
        <f>Inputs!$B$6</f>
        <v/>
      </c>
      <c r="C361" s="38">
        <f>C360*(1+Inputs!$B$18)+Inputs!$B$6</f>
        <v/>
      </c>
      <c r="D361" s="38">
        <f>D360*(1+Inputs!$B$23)+Inputs!$B$6</f>
        <v/>
      </c>
      <c r="E361" s="38">
        <f>E360*(1+Inputs!$B$24)+Inputs!$B$6</f>
        <v/>
      </c>
    </row>
    <row r="362">
      <c r="A362" s="43" t="n">
        <v>352</v>
      </c>
      <c r="B362" s="38">
        <f>Inputs!$B$6</f>
        <v/>
      </c>
      <c r="C362" s="38">
        <f>C361*(1+Inputs!$B$18)+Inputs!$B$6</f>
        <v/>
      </c>
      <c r="D362" s="38">
        <f>D361*(1+Inputs!$B$23)+Inputs!$B$6</f>
        <v/>
      </c>
      <c r="E362" s="38">
        <f>E361*(1+Inputs!$B$24)+Inputs!$B$6</f>
        <v/>
      </c>
    </row>
    <row r="363">
      <c r="A363" s="43" t="n">
        <v>353</v>
      </c>
      <c r="B363" s="38">
        <f>Inputs!$B$6</f>
        <v/>
      </c>
      <c r="C363" s="38">
        <f>C362*(1+Inputs!$B$18)+Inputs!$B$6</f>
        <v/>
      </c>
      <c r="D363" s="38">
        <f>D362*(1+Inputs!$B$23)+Inputs!$B$6</f>
        <v/>
      </c>
      <c r="E363" s="38">
        <f>E362*(1+Inputs!$B$24)+Inputs!$B$6</f>
        <v/>
      </c>
    </row>
    <row r="364">
      <c r="A364" s="43" t="n">
        <v>354</v>
      </c>
      <c r="B364" s="38">
        <f>Inputs!$B$6</f>
        <v/>
      </c>
      <c r="C364" s="38">
        <f>C363*(1+Inputs!$B$18)+Inputs!$B$6</f>
        <v/>
      </c>
      <c r="D364" s="38">
        <f>D363*(1+Inputs!$B$23)+Inputs!$B$6</f>
        <v/>
      </c>
      <c r="E364" s="38">
        <f>E363*(1+Inputs!$B$24)+Inputs!$B$6</f>
        <v/>
      </c>
    </row>
    <row r="365">
      <c r="A365" s="43" t="n">
        <v>355</v>
      </c>
      <c r="B365" s="38">
        <f>Inputs!$B$6</f>
        <v/>
      </c>
      <c r="C365" s="38">
        <f>C364*(1+Inputs!$B$18)+Inputs!$B$6</f>
        <v/>
      </c>
      <c r="D365" s="38">
        <f>D364*(1+Inputs!$B$23)+Inputs!$B$6</f>
        <v/>
      </c>
      <c r="E365" s="38">
        <f>E364*(1+Inputs!$B$24)+Inputs!$B$6</f>
        <v/>
      </c>
    </row>
    <row r="366">
      <c r="A366" s="43" t="n">
        <v>356</v>
      </c>
      <c r="B366" s="38">
        <f>Inputs!$B$6</f>
        <v/>
      </c>
      <c r="C366" s="38">
        <f>C365*(1+Inputs!$B$18)+Inputs!$B$6</f>
        <v/>
      </c>
      <c r="D366" s="38">
        <f>D365*(1+Inputs!$B$23)+Inputs!$B$6</f>
        <v/>
      </c>
      <c r="E366" s="38">
        <f>E365*(1+Inputs!$B$24)+Inputs!$B$6</f>
        <v/>
      </c>
    </row>
    <row r="367">
      <c r="A367" s="43" t="n">
        <v>357</v>
      </c>
      <c r="B367" s="38">
        <f>Inputs!$B$6</f>
        <v/>
      </c>
      <c r="C367" s="38">
        <f>C366*(1+Inputs!$B$18)+Inputs!$B$6</f>
        <v/>
      </c>
      <c r="D367" s="38">
        <f>D366*(1+Inputs!$B$23)+Inputs!$B$6</f>
        <v/>
      </c>
      <c r="E367" s="38">
        <f>E366*(1+Inputs!$B$24)+Inputs!$B$6</f>
        <v/>
      </c>
    </row>
    <row r="368">
      <c r="A368" s="43" t="n">
        <v>358</v>
      </c>
      <c r="B368" s="38">
        <f>Inputs!$B$6</f>
        <v/>
      </c>
      <c r="C368" s="38">
        <f>C367*(1+Inputs!$B$18)+Inputs!$B$6</f>
        <v/>
      </c>
      <c r="D368" s="38">
        <f>D367*(1+Inputs!$B$23)+Inputs!$B$6</f>
        <v/>
      </c>
      <c r="E368" s="38">
        <f>E367*(1+Inputs!$B$24)+Inputs!$B$6</f>
        <v/>
      </c>
    </row>
    <row r="369">
      <c r="A369" s="43" t="n">
        <v>359</v>
      </c>
      <c r="B369" s="38">
        <f>Inputs!$B$6</f>
        <v/>
      </c>
      <c r="C369" s="38">
        <f>C368*(1+Inputs!$B$18)+Inputs!$B$6</f>
        <v/>
      </c>
      <c r="D369" s="38">
        <f>D368*(1+Inputs!$B$23)+Inputs!$B$6</f>
        <v/>
      </c>
      <c r="E369" s="38">
        <f>E368*(1+Inputs!$B$24)+Inputs!$B$6</f>
        <v/>
      </c>
    </row>
    <row r="370">
      <c r="A370" s="43" t="n">
        <v>360</v>
      </c>
      <c r="B370" s="38">
        <f>Inputs!$B$6</f>
        <v/>
      </c>
      <c r="C370" s="38">
        <f>C369*(1+Inputs!$B$18)+Inputs!$B$6</f>
        <v/>
      </c>
      <c r="D370" s="38">
        <f>D369*(1+Inputs!$B$23)+Inputs!$B$6</f>
        <v/>
      </c>
      <c r="E370" s="38">
        <f>E369*(1+Inputs!$B$24)+Inputs!$B$6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5395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4" customHeight="1">
      <c r="A1" s="13" t="inlineStr">
        <is>
          <t>Regime Analysis — Selected Tier</t>
        </is>
      </c>
    </row>
    <row r="2">
      <c r="A2" s="2" t="inlineStr">
        <is>
          <t>Conditional performance of the selected tier within each macro regime, and terminal wealth if a single regime persisted for the whole horizon.</t>
        </is>
      </c>
    </row>
    <row r="4" ht="28" customHeight="1">
      <c r="A4" s="44" t="inlineStr">
        <is>
          <t>Regime</t>
        </is>
      </c>
      <c r="B4" s="44" t="inlineStr">
        <is>
          <t>Share of months</t>
        </is>
      </c>
      <c r="C4" s="44" t="inlineStr">
        <is>
          <t>Avg duration (mo)</t>
        </is>
      </c>
      <c r="D4" s="44" t="inlineStr">
        <is>
          <t>Mean monthly</t>
        </is>
      </c>
      <c r="E4" s="44" t="inlineStr">
        <is>
          <t>Annualized</t>
        </is>
      </c>
      <c r="F4" s="44" t="inlineStr">
        <is>
          <t>Ann. volatility</t>
        </is>
      </c>
      <c r="G4" s="44" t="inlineStr">
        <is>
          <t>Sharpe (in-regime)</t>
        </is>
      </c>
      <c r="H4" s="44" t="inlineStr">
        <is>
          <t>Final balance (single-regime)</t>
        </is>
      </c>
      <c r="I4" s="44" t="inlineStr">
        <is>
          <t>Growth vs contributed</t>
        </is>
      </c>
    </row>
    <row r="5">
      <c r="A5" s="15" t="inlineStr">
        <is>
          <t>Growth</t>
        </is>
      </c>
      <c r="B5" s="37">
        <f>Data!B20</f>
        <v/>
      </c>
      <c r="C5">
        <f>Data!B21</f>
        <v/>
      </c>
      <c r="D5" s="45">
        <f>INDEX(Data!$B$6:$B$9,MATCH(Inputs!$B$7,Data!$A$6:$A$9,0))</f>
        <v/>
      </c>
      <c r="E5" s="37">
        <f>(1+D5)^12-1</f>
        <v/>
      </c>
      <c r="F5" s="37">
        <f>INDEX(Data!$B$13:$B$16,MATCH(Inputs!$B$7,Data!$A$6:$A$9,0))*SQRT(12)</f>
        <v/>
      </c>
      <c r="G5" s="46">
        <f>IF(F5=0,0,(E5-Data!$B$23)/F5)</f>
        <v/>
      </c>
      <c r="H5" s="38">
        <f>IF(D5=0,Inputs!$B$5+Inputs!$B$6*(Inputs!$B$8*12),Inputs!$B$5*(1+D5)^(Inputs!$B$8*12)+Inputs!$B$6*(((1+D5)^(Inputs!$B$8*12))-1)/D5)</f>
        <v/>
      </c>
      <c r="I5" s="38">
        <f>H5-(Inputs!$B$5+Inputs!$B$6*Inputs!$B$8*12)</f>
        <v/>
      </c>
    </row>
    <row r="6">
      <c r="A6" s="15" t="inlineStr">
        <is>
          <t>Reflation</t>
        </is>
      </c>
      <c r="B6" s="37">
        <f>Data!C20</f>
        <v/>
      </c>
      <c r="C6">
        <f>Data!C21</f>
        <v/>
      </c>
      <c r="D6" s="45">
        <f>INDEX(Data!$C$6:$C$9,MATCH(Inputs!$B$7,Data!$A$6:$A$9,0))</f>
        <v/>
      </c>
      <c r="E6" s="37">
        <f>(1+D6)^12-1</f>
        <v/>
      </c>
      <c r="F6" s="37">
        <f>INDEX(Data!$C$13:$C$16,MATCH(Inputs!$B$7,Data!$A$6:$A$9,0))*SQRT(12)</f>
        <v/>
      </c>
      <c r="G6" s="46">
        <f>IF(F6=0,0,(E6-Data!$B$23)/F6)</f>
        <v/>
      </c>
      <c r="H6" s="38">
        <f>IF(D6=0,Inputs!$B$5+Inputs!$B$6*(Inputs!$B$8*12),Inputs!$B$5*(1+D6)^(Inputs!$B$8*12)+Inputs!$B$6*(((1+D6)^(Inputs!$B$8*12))-1)/D6)</f>
        <v/>
      </c>
      <c r="I6" s="38">
        <f>H6-(Inputs!$B$5+Inputs!$B$6*Inputs!$B$8*12)</f>
        <v/>
      </c>
    </row>
    <row r="7">
      <c r="A7" s="15" t="inlineStr">
        <is>
          <t>Stagflation</t>
        </is>
      </c>
      <c r="B7" s="37">
        <f>Data!D20</f>
        <v/>
      </c>
      <c r="C7">
        <f>Data!D21</f>
        <v/>
      </c>
      <c r="D7" s="45">
        <f>INDEX(Data!$D$6:$D$9,MATCH(Inputs!$B$7,Data!$A$6:$A$9,0))</f>
        <v/>
      </c>
      <c r="E7" s="37">
        <f>(1+D7)^12-1</f>
        <v/>
      </c>
      <c r="F7" s="37">
        <f>INDEX(Data!$D$13:$D$16,MATCH(Inputs!$B$7,Data!$A$6:$A$9,0))*SQRT(12)</f>
        <v/>
      </c>
      <c r="G7" s="46">
        <f>IF(F7=0,0,(E7-Data!$B$23)/F7)</f>
        <v/>
      </c>
      <c r="H7" s="38">
        <f>IF(D7=0,Inputs!$B$5+Inputs!$B$6*(Inputs!$B$8*12),Inputs!$B$5*(1+D7)^(Inputs!$B$8*12)+Inputs!$B$6*(((1+D7)^(Inputs!$B$8*12))-1)/D7)</f>
        <v/>
      </c>
      <c r="I7" s="38">
        <f>H7-(Inputs!$B$5+Inputs!$B$6*Inputs!$B$8*12)</f>
        <v/>
      </c>
    </row>
    <row r="8">
      <c r="A8" s="15" t="inlineStr">
        <is>
          <t>Deflation</t>
        </is>
      </c>
      <c r="B8" s="37">
        <f>Data!E20</f>
        <v/>
      </c>
      <c r="C8">
        <f>Data!E21</f>
        <v/>
      </c>
      <c r="D8" s="45">
        <f>INDEX(Data!$E$6:$E$9,MATCH(Inputs!$B$7,Data!$A$6:$A$9,0))</f>
        <v/>
      </c>
      <c r="E8" s="37">
        <f>(1+D8)^12-1</f>
        <v/>
      </c>
      <c r="F8" s="37">
        <f>INDEX(Data!$E$13:$E$16,MATCH(Inputs!$B$7,Data!$A$6:$A$9,0))*SQRT(12)</f>
        <v/>
      </c>
      <c r="G8" s="46">
        <f>IF(F8=0,0,(E8-Data!$B$23)/F8)</f>
        <v/>
      </c>
      <c r="H8" s="38">
        <f>IF(D8=0,Inputs!$B$5+Inputs!$B$6*(Inputs!$B$8*12),Inputs!$B$5*(1+D8)^(Inputs!$B$8*12)+Inputs!$B$6*(((1+D8)^(Inputs!$B$8*12))-1)/D8)</f>
        <v/>
      </c>
      <c r="I8" s="38">
        <f>H8-(Inputs!$B$5+Inputs!$B$6*Inputs!$B$8*12)</f>
        <v/>
      </c>
    </row>
    <row r="10">
      <c r="A10" s="47" t="inlineStr">
        <is>
          <t>BLENDED (your mix)</t>
        </is>
      </c>
      <c r="D10" s="45">
        <f>Inputs!$B$18</f>
        <v/>
      </c>
      <c r="E10" s="37">
        <f>Inputs!$B$19</f>
        <v/>
      </c>
      <c r="F10" s="37">
        <f>Inputs!$B$21</f>
        <v/>
      </c>
      <c r="G10" s="46">
        <f>IF(F10=0,0,(E10-Data!$B$23)/F10)</f>
        <v/>
      </c>
      <c r="H10" s="38">
        <f>IF(D10=0,Inputs!$B$5+Inputs!$B$6*(Inputs!$B$8*12),Inputs!$B$5*(1+D10)^(Inputs!$B$8*12)+Inputs!$B$6*(((1+D10)^(Inputs!$B$8*12))-1)/D10)</f>
        <v/>
      </c>
      <c r="I10" s="38">
        <f>H10-(Inputs!$B$5+Inputs!$B$6*Inputs!$B$8*12)</f>
        <v/>
      </c>
    </row>
    <row r="12">
      <c r="A12" s="26" t="inlineStr">
        <is>
          <t>Stagflation is the deliberately defensive cell: capital preservation, not growth. See Methodology.</t>
        </is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E5395"/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13" t="inlineStr">
        <is>
          <t>Scenario Analysis — Regime-Mix Sensitivity</t>
        </is>
      </c>
    </row>
    <row r="2">
      <c r="A2" s="2" t="inlineStr">
        <is>
          <t>Same strategy, different decades. Terminal wealth for the selected tier under alternative regime distributions. Blue mixes editable.</t>
        </is>
      </c>
    </row>
    <row r="4">
      <c r="A4" s="41" t="inlineStr">
        <is>
          <t>Scenario</t>
        </is>
      </c>
      <c r="B4" s="41" t="inlineStr">
        <is>
          <t>Growth</t>
        </is>
      </c>
      <c r="C4" s="41" t="inlineStr">
        <is>
          <t>Reflation</t>
        </is>
      </c>
      <c r="D4" s="41" t="inlineStr">
        <is>
          <t>Stagflation</t>
        </is>
      </c>
      <c r="E4" s="41" t="inlineStr">
        <is>
          <t>Deflation</t>
        </is>
      </c>
      <c r="F4" s="41" t="inlineStr">
        <is>
          <t>Blended annual</t>
        </is>
      </c>
      <c r="G4" s="41" t="inlineStr">
        <is>
          <t>Final balance</t>
        </is>
      </c>
    </row>
    <row r="5">
      <c r="A5" s="15" t="inlineStr">
        <is>
          <t>Historical 2007–26</t>
        </is>
      </c>
      <c r="B5" s="48" t="n">
        <v>0.32</v>
      </c>
      <c r="C5" s="48" t="n">
        <v>0.47</v>
      </c>
      <c r="D5" s="48" t="n">
        <v>0.08</v>
      </c>
      <c r="E5" s="48" t="n">
        <v>0.13</v>
      </c>
      <c r="F5" s="30">
        <f>(1+SUMPRODUCT(B5:E5,INDEX(Data!$B$6:$E$9,MATCH(Inputs!$B$7,Data!$A$6:$A$9,0),0))-Inputs!$B$15/10000/12)^12-1</f>
        <v/>
      </c>
      <c r="G5" s="49">
        <f>IF(((1+F5)^(1/12)-1)=0,Inputs!$B$5+Inputs!$B$6*(Inputs!$B$8*12),Inputs!$B$5*(1+((1+F5)^(1/12)-1))^(Inputs!$B$8*12)+Inputs!$B$6*(((1+((1+F5)^(1/12)-1))^(Inputs!$B$8*12))-1)/((1+F5)^(1/12)-1))</f>
        <v/>
      </c>
    </row>
    <row r="6">
      <c r="A6" s="15" t="inlineStr">
        <is>
          <t>Growth decade</t>
        </is>
      </c>
      <c r="B6" s="48" t="n">
        <v>0.6</v>
      </c>
      <c r="C6" s="48" t="n">
        <v>0.25</v>
      </c>
      <c r="D6" s="48" t="n">
        <v>0.05</v>
      </c>
      <c r="E6" s="48" t="n">
        <v>0.1</v>
      </c>
      <c r="F6" s="30">
        <f>(1+SUMPRODUCT(B6:E6,INDEX(Data!$B$6:$E$9,MATCH(Inputs!$B$7,Data!$A$6:$A$9,0),0))-Inputs!$B$15/10000/12)^12-1</f>
        <v/>
      </c>
      <c r="G6" s="49">
        <f>IF(((1+F6)^(1/12)-1)=0,Inputs!$B$5+Inputs!$B$6*(Inputs!$B$8*12),Inputs!$B$5*(1+((1+F6)^(1/12)-1))^(Inputs!$B$8*12)+Inputs!$B$6*(((1+((1+F6)^(1/12)-1))^(Inputs!$B$8*12))-1)/((1+F6)^(1/12)-1))</f>
        <v/>
      </c>
    </row>
    <row r="7">
      <c r="A7" s="15" t="inlineStr">
        <is>
          <t>Inflation decade</t>
        </is>
      </c>
      <c r="B7" s="48" t="n">
        <v>0.15</v>
      </c>
      <c r="C7" s="48" t="n">
        <v>0.55</v>
      </c>
      <c r="D7" s="48" t="n">
        <v>0.15</v>
      </c>
      <c r="E7" s="48" t="n">
        <v>0.15</v>
      </c>
      <c r="F7" s="30">
        <f>(1+SUMPRODUCT(B7:E7,INDEX(Data!$B$6:$E$9,MATCH(Inputs!$B$7,Data!$A$6:$A$9,0),0))-Inputs!$B$15/10000/12)^12-1</f>
        <v/>
      </c>
      <c r="G7" s="49">
        <f>IF(((1+F7)^(1/12)-1)=0,Inputs!$B$5+Inputs!$B$6*(Inputs!$B$8*12),Inputs!$B$5*(1+((1+F7)^(1/12)-1))^(Inputs!$B$8*12)+Inputs!$B$6*(((1+((1+F7)^(1/12)-1))^(Inputs!$B$8*12))-1)/((1+F7)^(1/12)-1))</f>
        <v/>
      </c>
    </row>
    <row r="8">
      <c r="A8" s="15" t="inlineStr">
        <is>
          <t>Rough decade</t>
        </is>
      </c>
      <c r="B8" s="48" t="n">
        <v>0.2</v>
      </c>
      <c r="C8" s="48" t="n">
        <v>0.3</v>
      </c>
      <c r="D8" s="48" t="n">
        <v>0.25</v>
      </c>
      <c r="E8" s="48" t="n">
        <v>0.25</v>
      </c>
      <c r="F8" s="30">
        <f>(1+SUMPRODUCT(B8:E8,INDEX(Data!$B$6:$E$9,MATCH(Inputs!$B$7,Data!$A$6:$A$9,0),0))-Inputs!$B$15/10000/12)^12-1</f>
        <v/>
      </c>
      <c r="G8" s="49">
        <f>IF(((1+F8)^(1/12)-1)=0,Inputs!$B$5+Inputs!$B$6*(Inputs!$B$8*12),Inputs!$B$5*(1+((1+F8)^(1/12)-1))^(Inputs!$B$8*12)+Inputs!$B$6*(((1+((1+F8)^(1/12)-1))^(Inputs!$B$8*12))-1)/((1+F8)^(1/12)-1))</f>
        <v/>
      </c>
    </row>
    <row r="9">
      <c r="A9" s="15" t="inlineStr">
        <is>
          <t>Your Inputs mix</t>
        </is>
      </c>
      <c r="B9" s="34">
        <f>Inputs!$B$12</f>
        <v/>
      </c>
      <c r="C9" s="34">
        <f>Inputs!$C$12</f>
        <v/>
      </c>
      <c r="D9" s="34">
        <f>Inputs!$D$12</f>
        <v/>
      </c>
      <c r="E9" s="34">
        <f>Inputs!$E$12</f>
        <v/>
      </c>
      <c r="F9" s="30">
        <f>(1+SUMPRODUCT(B9:E9,INDEX(Data!$B$6:$E$9,MATCH(Inputs!$B$7,Data!$A$6:$A$9,0),0))-Inputs!$B$15/10000/12)^12-1</f>
        <v/>
      </c>
      <c r="G9" s="49">
        <f>IF(((1+F9)^(1/12)-1)=0,Inputs!$B$5+Inputs!$B$6*(Inputs!$B$8*12),Inputs!$B$5*(1+((1+F9)^(1/12)-1))^(Inputs!$B$8*12)+Inputs!$B$6*(((1+((1+F9)^(1/12)-1))^(Inputs!$B$8*12))-1)/((1+F9)^(1/12)-1))</f>
        <v/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 ht="24" customHeight="1">
      <c r="A1" s="13" t="inlineStr">
        <is>
          <t>Methodology &amp; Assumptions</t>
        </is>
      </c>
    </row>
    <row r="2">
      <c r="A2" s="2" t="inlineStr"/>
    </row>
    <row r="4">
      <c r="A4" s="11" t="inlineStr">
        <is>
          <t>Framework</t>
        </is>
      </c>
    </row>
    <row r="5" ht="40" customHeight="1">
      <c r="A5" s="50" t="inlineStr">
        <is>
          <t>Four macro regimes (growth x inflation), classified monthly ex-ante: SPY and DBC vs their 10-month SMAs (locked; specification-robustness tested across 9 trigger variants). Each risk tier holds a fixed allocation per regime (matrix v2: monotonic octane scaling from the MOD baseline).</t>
        </is>
      </c>
    </row>
    <row r="7">
      <c r="A7" s="11" t="inlineStr">
        <is>
          <t>Return statistics</t>
        </is>
      </c>
    </row>
    <row r="8" ht="40" customHeight="1">
      <c r="A8" s="50" t="inlineStr">
        <is>
          <t>Per-tier, per-regime monthly means and std devs measured from the v2 backtest, Jun 2007 - Aug 2026, dividends included. Rotation sleeve only; the AGG/VAGG options overlay is excluded (additive if validated).</t>
        </is>
      </c>
    </row>
    <row r="10">
      <c r="A10" s="11" t="inlineStr">
        <is>
          <t>Projection math</t>
        </is>
      </c>
    </row>
    <row r="11" ht="40" customHeight="1">
      <c r="A11" s="50" t="inlineStr">
        <is>
          <t>Expected path compounds the blended monthly mean (SUMPRODUCT of regime mix x per-regime means, minus switch-cost drag). Percentiles and the Low/High band apply +/-z standard errors of the AVERAGE annual return (sigma_annual / sqrt(years)) as constant-rate paths.</t>
        </is>
      </c>
    </row>
    <row r="13">
      <c r="A13" s="11" t="inlineStr">
        <is>
          <t>What the band is NOT</t>
        </is>
      </c>
    </row>
    <row r="14" ht="40" customHeight="1">
      <c r="A14" s="50" t="inlineStr">
        <is>
          <t>It bounds uncertainty in the long-run average, not path risk. Within-horizon drawdowns will exceed the Low path: backtested max drawdowns are CONS -13%, MOD -15%, AGG -37%, VAGG -51%.</t>
        </is>
      </c>
    </row>
    <row r="16">
      <c r="A16" s="11" t="inlineStr">
        <is>
          <t>Frictions</t>
        </is>
      </c>
    </row>
    <row r="17" ht="40" customHeight="1">
      <c r="A17" s="50" t="inlineStr">
        <is>
          <t>Default 60 bps/yr switch drag reflects backtested turnover (3.3 regime changes/yr) at ~10 bps per unit traded. Whole-share error at an $8k account is ~1.5% (~0 with fractional shares).</t>
        </is>
      </c>
    </row>
    <row r="19">
      <c r="A19" s="11" t="inlineStr">
        <is>
          <t>Simulation caveats</t>
        </is>
      </c>
    </row>
    <row r="20" ht="40" customHeight="1">
      <c r="A20" s="50" t="inlineStr">
        <is>
          <t>QLD/TQQQ/ERX/TMF returns before 2010 are simulated (daily reset, T-bill+100bp financing, 0.95% ER). Regime playbooks are partly second-generation designs on the same sample; the append-only paper ledger (monthly, automated) is the binding forward test.</t>
        </is>
      </c>
    </row>
    <row r="22">
      <c r="A22" s="11" t="inlineStr">
        <is>
          <t>Color code</t>
        </is>
      </c>
    </row>
    <row r="23" ht="40" customHeight="1">
      <c r="A23" s="50" t="inlineStr">
        <is>
          <t>Yellow fill = your inputs. Blue text = editable assumptions. Green = cross-sheet links. Black = formulas. Navy bars = section headers.</t>
        </is>
      </c>
    </row>
    <row r="25">
      <c r="A25" s="11" t="inlineStr">
        <is>
          <t>Disclaimer</t>
        </is>
      </c>
    </row>
    <row r="26" ht="40" customHeight="1">
      <c r="A26" s="50" t="inlineStr">
        <is>
          <t>Personal research tooling. Nothing in this workbook is investment advice; past (and simulated) performance does not guarantee future results.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2026-08-20T19:55:24Z</dcterms:created>
  <dcterms:modified xsi:type="dcterms:W3CDTF">2026-08-20T19:55:24Z</dcterms:modified>
</cp:coreProperties>
</file>