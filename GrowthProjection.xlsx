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20,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8000</v>
      </c>
    </row>
    <row r="8">
      <c r="A8" s="5" t="inlineStr">
        <is>
          <t>Year-1 monthly contribution ($)</t>
        </is>
      </c>
      <c r="C8" s="7" t="n">
        <v>500</v>
      </c>
    </row>
    <row r="9">
      <c r="A9" s="5" t="inlineStr">
        <is>
          <t>Contribution cap ($/mo)</t>
        </is>
      </c>
      <c r="C9" s="7" t="n">
        <v>10000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Matrix v4 (conditional-duration S, D-cell gold, R momentum tilt), monthly-only execution — intra-month mechanisms tested and rejected under honest T+1 modeling. Leveraged instruments simulated pre-2010. Out-of-sample framework validation: 1987-2007 replication. Forward: paper/ledger.csv.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0.09520000000000001</v>
      </c>
      <c r="C6" s="19" t="n">
        <v>1.3173</v>
      </c>
      <c r="D6" s="19" t="n">
        <v>0.9536</v>
      </c>
      <c r="E6" s="18" t="n">
        <v>-0.1059</v>
      </c>
      <c r="F6" s="19" t="n">
        <v>0.1604</v>
      </c>
      <c r="G6" s="18" t="n">
        <v>0.1315</v>
      </c>
      <c r="H6" s="18" t="n">
        <v>0.1228</v>
      </c>
      <c r="I6" s="18" t="n">
        <v>0.021</v>
      </c>
      <c r="J6" s="18" t="n">
        <v>0.204</v>
      </c>
      <c r="K6" s="18" t="n">
        <v>0.1268</v>
      </c>
    </row>
    <row r="7">
      <c r="A7" s="17" t="inlineStr">
        <is>
          <t>MOD</t>
        </is>
      </c>
      <c r="B7" s="20" t="n">
        <v>0.1443</v>
      </c>
      <c r="C7" s="21" t="n">
        <v>1.4307</v>
      </c>
      <c r="D7" s="21" t="n">
        <v>1.0503</v>
      </c>
      <c r="E7" s="20" t="n">
        <v>-0.16</v>
      </c>
      <c r="F7" s="21" t="n">
        <v>0.3077</v>
      </c>
      <c r="G7" s="20" t="n">
        <v>0.1133</v>
      </c>
      <c r="H7" s="20" t="n">
        <v>0.2458</v>
      </c>
      <c r="I7" s="20" t="n">
        <v>0.0221</v>
      </c>
      <c r="J7" s="20" t="n">
        <v>0.2703</v>
      </c>
      <c r="K7" s="20" t="n">
        <v>0.1771</v>
      </c>
    </row>
    <row r="8">
      <c r="A8" s="17" t="inlineStr">
        <is>
          <t>AGG</t>
        </is>
      </c>
      <c r="B8" s="18" t="n">
        <v>0.2271</v>
      </c>
      <c r="C8" s="19" t="n">
        <v>1.122</v>
      </c>
      <c r="D8" s="19" t="n">
        <v>0.878</v>
      </c>
      <c r="E8" s="18" t="n">
        <v>-0.3565</v>
      </c>
      <c r="F8" s="19" t="n">
        <v>0.6299</v>
      </c>
      <c r="G8" s="18" t="n">
        <v>0.2365</v>
      </c>
      <c r="H8" s="18" t="n">
        <v>0.6504</v>
      </c>
      <c r="I8" s="18" t="n">
        <v>-0.2259</v>
      </c>
      <c r="J8" s="18" t="n">
        <v>0.4798</v>
      </c>
      <c r="K8" s="18" t="n">
        <v>0.2039</v>
      </c>
    </row>
    <row r="9">
      <c r="A9" s="17" t="inlineStr">
        <is>
          <t>VAGG</t>
        </is>
      </c>
      <c r="B9" s="20" t="n">
        <v>0.3096</v>
      </c>
      <c r="C9" s="21" t="n">
        <v>1.1049</v>
      </c>
      <c r="D9" s="21" t="n">
        <v>0.8754</v>
      </c>
      <c r="E9" s="20" t="n">
        <v>-0.5002</v>
      </c>
      <c r="F9" s="21" t="n">
        <v>0.96</v>
      </c>
      <c r="G9" s="20" t="n">
        <v>0.3016</v>
      </c>
      <c r="H9" s="20" t="n">
        <v>0.9754</v>
      </c>
      <c r="I9" s="20" t="n">
        <v>-0.3142</v>
      </c>
      <c r="J9" s="20" t="n">
        <v>0.5814</v>
      </c>
      <c r="K9" s="20" t="n">
        <v>0.3244</v>
      </c>
    </row>
    <row r="10">
      <c r="A10" s="22" t="inlineStr">
        <is>
          <t>SPY B&amp;H</t>
        </is>
      </c>
      <c r="B10" s="18" t="n">
        <v>0.1082</v>
      </c>
      <c r="C10" s="19" t="n">
        <v>0.6697</v>
      </c>
      <c r="D10" s="19" t="n">
        <v>0.5458</v>
      </c>
      <c r="E10" s="18" t="n">
        <v>-0.5518999999999999</v>
      </c>
      <c r="F10" s="19" t="n">
        <v>1.0002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0.9358</v>
      </c>
      <c r="D11" s="19" t="n">
        <v>0.7202</v>
      </c>
      <c r="E11" s="18" t="n">
        <v>-0.534</v>
      </c>
      <c r="F11" s="19" t="n">
        <v>1.0467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monthly $ by year (edit freely; year 1 links to Dashboard)</t>
        </is>
      </c>
      <c r="B18" s="4" t="inlineStr"/>
      <c r="C18" s="4" t="inlineStr"/>
    </row>
    <row r="19">
      <c r="A19" s="22" t="inlineStr">
        <is>
          <t>Year 1</t>
        </is>
      </c>
      <c r="B19" s="52">
        <f>Dashboard!$C$8</f>
        <v/>
      </c>
    </row>
    <row r="20">
      <c r="A20" s="22" t="inlineStr">
        <is>
          <t>Year 2</t>
        </is>
      </c>
      <c r="B20" s="7" t="n">
        <v>650</v>
      </c>
    </row>
    <row r="21">
      <c r="A21" s="22" t="inlineStr">
        <is>
          <t>Year 3</t>
        </is>
      </c>
      <c r="B21" s="7" t="n">
        <v>800</v>
      </c>
    </row>
    <row r="22">
      <c r="A22" s="22" t="inlineStr">
        <is>
          <t>Year 4</t>
        </is>
      </c>
      <c r="B22" s="7" t="n">
        <v>900</v>
      </c>
    </row>
    <row r="23">
      <c r="A23" s="22" t="inlineStr">
        <is>
          <t>Year 5</t>
        </is>
      </c>
      <c r="B23" s="7" t="n">
        <v>1000</v>
      </c>
    </row>
    <row r="24">
      <c r="A24" s="22" t="inlineStr">
        <is>
          <t>Year 6</t>
        </is>
      </c>
      <c r="B24" s="7" t="n">
        <v>1125</v>
      </c>
    </row>
    <row r="25">
      <c r="A25" s="22" t="inlineStr">
        <is>
          <t>Year 7</t>
        </is>
      </c>
      <c r="B25" s="7" t="n">
        <v>1250</v>
      </c>
    </row>
    <row r="26">
      <c r="A26" s="22" t="inlineStr">
        <is>
          <t>Year 8</t>
        </is>
      </c>
      <c r="B26" s="7" t="n">
        <v>1400</v>
      </c>
    </row>
    <row r="27">
      <c r="A27" s="22" t="inlineStr">
        <is>
          <t>Year 9</t>
        </is>
      </c>
      <c r="B27" s="7" t="n">
        <v>1575</v>
      </c>
    </row>
    <row r="28">
      <c r="A28" s="22" t="inlineStr">
        <is>
          <t>Year 10</t>
        </is>
      </c>
      <c r="B28" s="7" t="n">
        <v>1775</v>
      </c>
    </row>
    <row r="29">
      <c r="A29" s="22" t="inlineStr">
        <is>
          <t>Year 11</t>
        </is>
      </c>
      <c r="B29" s="7" t="n">
        <v>1975</v>
      </c>
    </row>
    <row r="30">
      <c r="A30" s="22" t="inlineStr">
        <is>
          <t>Year 12</t>
        </is>
      </c>
      <c r="B30" s="7" t="n">
        <v>2225</v>
      </c>
    </row>
    <row r="31">
      <c r="A31" s="22" t="inlineStr">
        <is>
          <t>Year 13</t>
        </is>
      </c>
      <c r="B31" s="7" t="n">
        <v>2475</v>
      </c>
    </row>
    <row r="32">
      <c r="A32" s="22" t="inlineStr">
        <is>
          <t>Year 14</t>
        </is>
      </c>
      <c r="B32" s="7" t="n">
        <v>2775</v>
      </c>
    </row>
    <row r="33">
      <c r="A33" s="22" t="inlineStr">
        <is>
          <t>Year 15</t>
        </is>
      </c>
      <c r="B33" s="7" t="n">
        <v>3125</v>
      </c>
    </row>
    <row r="34">
      <c r="A34" s="22" t="inlineStr">
        <is>
          <t>Year 16</t>
        </is>
      </c>
      <c r="B34" s="7" t="n">
        <v>3375</v>
      </c>
    </row>
    <row r="35">
      <c r="A35" s="22" t="inlineStr">
        <is>
          <t>Year 17</t>
        </is>
      </c>
      <c r="B35" s="7" t="n">
        <v>3625</v>
      </c>
    </row>
    <row r="36">
      <c r="A36" s="22" t="inlineStr">
        <is>
          <t>Year 18</t>
        </is>
      </c>
      <c r="B36" s="7" t="n">
        <v>3925</v>
      </c>
    </row>
    <row r="37">
      <c r="A37" s="22" t="inlineStr">
        <is>
          <t>Year 19</t>
        </is>
      </c>
      <c r="B37" s="7" t="n">
        <v>4250</v>
      </c>
    </row>
    <row r="38">
      <c r="A38" s="22" t="inlineStr">
        <is>
          <t>Year 20</t>
        </is>
      </c>
      <c r="B38" s="7" t="n">
        <v>4575</v>
      </c>
    </row>
    <row r="39">
      <c r="A39" s="22" t="inlineStr">
        <is>
          <t>Year 21</t>
        </is>
      </c>
      <c r="B39" s="7" t="n">
        <v>4950</v>
      </c>
    </row>
    <row r="40">
      <c r="A40" s="22" t="inlineStr">
        <is>
          <t>Year 22</t>
        </is>
      </c>
      <c r="B40" s="7" t="n">
        <v>5350</v>
      </c>
    </row>
    <row r="41">
      <c r="A41" s="22" t="inlineStr">
        <is>
          <t>Year 23</t>
        </is>
      </c>
      <c r="B41" s="7" t="n">
        <v>5775</v>
      </c>
    </row>
    <row r="42">
      <c r="A42" s="22" t="inlineStr">
        <is>
          <t>Year 24</t>
        </is>
      </c>
      <c r="B42" s="7" t="n">
        <v>6225</v>
      </c>
    </row>
    <row r="43">
      <c r="A43" s="22" t="inlineStr">
        <is>
          <t>Year 25</t>
        </is>
      </c>
      <c r="B43" s="7" t="n">
        <v>6725</v>
      </c>
    </row>
    <row r="44">
      <c r="A44" s="22" t="inlineStr">
        <is>
          <t>Year 26</t>
        </is>
      </c>
      <c r="B44" s="7" t="n">
        <v>7275</v>
      </c>
    </row>
    <row r="45">
      <c r="A45" s="22" t="inlineStr">
        <is>
          <t>Year 27</t>
        </is>
      </c>
      <c r="B45" s="7" t="n">
        <v>7850</v>
      </c>
    </row>
    <row r="46">
      <c r="A46" s="22" t="inlineStr">
        <is>
          <t>Year 28</t>
        </is>
      </c>
      <c r="B46" s="7" t="n">
        <v>8475</v>
      </c>
    </row>
    <row r="47">
      <c r="A47" s="22" t="inlineStr">
        <is>
          <t>Year 29</t>
        </is>
      </c>
      <c r="B47" s="7" t="n">
        <v>9150</v>
      </c>
    </row>
    <row r="48">
      <c r="A48" s="22" t="inlineStr">
        <is>
          <t>Year 30</t>
        </is>
      </c>
      <c r="B48" s="7" t="n">
        <v>9875</v>
      </c>
    </row>
    <row r="49">
      <c r="A49" s="22" t="inlineStr">
        <is>
          <t>Year 31</t>
        </is>
      </c>
      <c r="B49" s="7" t="n">
        <v>10675</v>
      </c>
    </row>
    <row r="50">
      <c r="A50" s="22" t="inlineStr">
        <is>
          <t>Year 32</t>
        </is>
      </c>
      <c r="B50" s="7" t="n">
        <v>11525</v>
      </c>
    </row>
    <row r="51">
      <c r="A51" s="22" t="inlineStr">
        <is>
          <t>Year 33</t>
        </is>
      </c>
      <c r="B51" s="7" t="n">
        <v>12450</v>
      </c>
    </row>
    <row r="52">
      <c r="A52" s="22" t="inlineStr">
        <is>
          <t>Year 34</t>
        </is>
      </c>
      <c r="B52" s="7" t="n">
        <v>13450</v>
      </c>
    </row>
    <row r="53">
      <c r="A53" s="22" t="inlineStr">
        <is>
          <t>Year 35</t>
        </is>
      </c>
      <c r="B53" s="7" t="n">
        <v>14525</v>
      </c>
    </row>
    <row r="54">
      <c r="A54" s="22" t="inlineStr">
        <is>
          <t>Year 36</t>
        </is>
      </c>
      <c r="B54" s="7" t="n">
        <v>15700</v>
      </c>
    </row>
    <row r="55">
      <c r="A55" s="22" t="inlineStr">
        <is>
          <t>Year 37</t>
        </is>
      </c>
      <c r="B55" s="7" t="n">
        <v>16950</v>
      </c>
    </row>
    <row r="56">
      <c r="A56" s="22" t="inlineStr">
        <is>
          <t>Year 38</t>
        </is>
      </c>
      <c r="B56" s="7" t="n">
        <v>18300</v>
      </c>
    </row>
    <row r="57">
      <c r="A57" s="22" t="inlineStr">
        <is>
          <t>Year 39</t>
        </is>
      </c>
      <c r="B57" s="7" t="n">
        <v>19775</v>
      </c>
    </row>
    <row r="58">
      <c r="A58" s="22" t="inlineStr">
        <is>
          <t>Year 40</t>
        </is>
      </c>
      <c r="B58" s="7" t="n">
        <v>21350</v>
      </c>
    </row>
    <row r="59">
      <c r="A59" s="9" t="inlineStr">
        <is>
          <t>Defaults: $800/mo by yr 3 (user), +12%/yr to yr 15 (income → ~$500k), +8%/yr after. Cap on Dashboard applies.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(matrix v4, monthly-only execution,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0.00726</v>
      </c>
      <c r="C6" s="55" t="n">
        <v>0.00796</v>
      </c>
      <c r="D6" s="55" t="n">
        <v>0.00399</v>
      </c>
      <c r="E6" s="55" t="n">
        <v>0.01116</v>
      </c>
    </row>
    <row r="7">
      <c r="A7" s="50" t="inlineStr">
        <is>
          <t>MOD</t>
        </is>
      </c>
      <c r="B7" s="55" t="n">
        <v>0.01392</v>
      </c>
      <c r="C7" s="55" t="n">
        <v>0.01076</v>
      </c>
      <c r="D7" s="55" t="n">
        <v>0.00463</v>
      </c>
      <c r="E7" s="55" t="n">
        <v>0.01446</v>
      </c>
    </row>
    <row r="8">
      <c r="A8" s="50" t="inlineStr">
        <is>
          <t>AGG</t>
        </is>
      </c>
      <c r="B8" s="55" t="n">
        <v>0.03406</v>
      </c>
      <c r="C8" s="55" t="n">
        <v>0.01205</v>
      </c>
      <c r="D8" s="55" t="n">
        <v>0.00528</v>
      </c>
      <c r="E8" s="55" t="n">
        <v>0.0167</v>
      </c>
    </row>
    <row r="9">
      <c r="A9" s="50" t="inlineStr">
        <is>
          <t>VAGG</t>
        </is>
      </c>
      <c r="B9" s="55" t="n">
        <v>0.05004</v>
      </c>
      <c r="C9" s="55" t="n">
        <v>0.01622</v>
      </c>
      <c r="D9" s="55" t="n">
        <v>0.00593</v>
      </c>
      <c r="E9" s="55" t="n">
        <v>0.02286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0.01763</v>
      </c>
      <c r="C13" s="55" t="n">
        <v>0.02288</v>
      </c>
      <c r="D13" s="55" t="n">
        <v>0.01537</v>
      </c>
      <c r="E13" s="55" t="n">
        <v>0.03214</v>
      </c>
    </row>
    <row r="14">
      <c r="A14" s="50" t="inlineStr">
        <is>
          <t>MOD</t>
        </is>
      </c>
      <c r="B14" s="55" t="n">
        <v>0.0307</v>
      </c>
      <c r="C14" s="55" t="n">
        <v>0.03269</v>
      </c>
      <c r="D14" s="55" t="n">
        <v>0.01819</v>
      </c>
      <c r="E14" s="55" t="n">
        <v>0.03913</v>
      </c>
    </row>
    <row r="15">
      <c r="A15" s="50" t="inlineStr">
        <is>
          <t>AGG</t>
        </is>
      </c>
      <c r="B15" s="55" t="n">
        <v>0.09061</v>
      </c>
      <c r="C15" s="55" t="n">
        <v>0.04889</v>
      </c>
      <c r="D15" s="55" t="n">
        <v>0.02114</v>
      </c>
      <c r="E15" s="55" t="n">
        <v>0.05551</v>
      </c>
    </row>
    <row r="16">
      <c r="A16" s="50" t="inlineStr">
        <is>
          <t>VAGG</t>
        </is>
      </c>
      <c r="B16" s="55" t="n">
        <v>0.13741</v>
      </c>
      <c r="C16" s="55" t="n">
        <v>0.06826</v>
      </c>
      <c r="D16" s="55" t="n">
        <v>0.02416</v>
      </c>
      <c r="E16" s="55" t="n">
        <v>0.07714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$500 yr1, $800 by yr3, +12%/yr to yr15 as income scales to ~$500k, +8%/yr after),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2026-08-20T22:26:26Z</dcterms:created>
  <dcterms:modified xsi:type="dcterms:W3CDTF">2026-08-20T22:26:26Z</dcterms:modified>
</cp:coreProperties>
</file>