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2" fillId="2" borderId="0" pivotButton="0" quotePrefix="0" xfId="0"/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'Comparison'!$E$19:$E$29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20,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 (edge decay / regime luck); 0% = raw backtest</t>
        </is>
      </c>
    </row>
    <row r="11">
      <c r="A11" s="3" t="inlineStr">
        <is>
          <t>Risk glide path — choose a tier for each 5-year block</t>
        </is>
      </c>
      <c r="B11" s="4" t="inlineStr"/>
      <c r="C11" s="4" t="inlineStr"/>
      <c r="D11" s="4" t="inlineStr"/>
      <c r="E11" s="4" t="inlineStr"/>
      <c r="F11" s="4" t="inlineStr"/>
      <c r="G11" s="4" t="inlineStr"/>
    </row>
    <row r="12">
      <c r="A12" s="5">
        <f>"Age "&amp;($C$5+0*5)&amp;"–"&amp;($C$5+1*5)</f>
        <v/>
      </c>
      <c r="C12" s="6" t="inlineStr">
        <is>
          <t>VAGG</t>
        </is>
      </c>
      <c r="E12" s="10">
        <f>MAX(0,MIN(5,($C$6-$C$5)-0*5))/MAX(1,$C$6-$C$5)</f>
        <v/>
      </c>
      <c r="F12" s="11">
        <f>INDEX(Settings!$C$13:$C$16,MATCH($C12,Settings!$A$13:$A$16,0))</f>
        <v/>
      </c>
      <c r="G12" s="11">
        <f>INDEX(Settings!$E$13:$E$16,MATCH($C12,Settings!$A$13:$A$16,0))</f>
        <v/>
      </c>
    </row>
    <row r="13">
      <c r="A13" s="5">
        <f>"Age "&amp;($C$5+1*5)&amp;"–"&amp;($C$5+2*5)</f>
        <v/>
      </c>
      <c r="C13" s="6" t="inlineStr">
        <is>
          <t>VAGG</t>
        </is>
      </c>
      <c r="E13" s="10">
        <f>MAX(0,MIN(5,($C$6-$C$5)-1*5))/MAX(1,$C$6-$C$5)</f>
        <v/>
      </c>
      <c r="F13" s="11">
        <f>INDEX(Settings!$C$13:$C$16,MATCH($C13,Settings!$A$13:$A$16,0))</f>
        <v/>
      </c>
      <c r="G13" s="11">
        <f>INDEX(Settings!$E$13:$E$16,MATCH($C13,Settings!$A$13:$A$16,0))</f>
        <v/>
      </c>
    </row>
    <row r="14">
      <c r="A14" s="5">
        <f>"Age "&amp;($C$5+2*5)&amp;"–"&amp;($C$5+3*5)</f>
        <v/>
      </c>
      <c r="C14" s="6" t="inlineStr">
        <is>
          <t>AGG</t>
        </is>
      </c>
      <c r="E14" s="10">
        <f>MAX(0,MIN(5,($C$6-$C$5)-2*5))/MAX(1,$C$6-$C$5)</f>
        <v/>
      </c>
      <c r="F14" s="11">
        <f>INDEX(Settings!$C$13:$C$16,MATCH($C14,Settings!$A$13:$A$16,0))</f>
        <v/>
      </c>
      <c r="G14" s="11">
        <f>INDEX(Settings!$E$13:$E$16,MATCH($C14,Settings!$A$13:$A$16,0))</f>
        <v/>
      </c>
    </row>
    <row r="15">
      <c r="A15" s="5">
        <f>"Age "&amp;($C$5+3*5)&amp;"–"&amp;($C$5+4*5)</f>
        <v/>
      </c>
      <c r="C15" s="6" t="inlineStr">
        <is>
          <t>AGG</t>
        </is>
      </c>
      <c r="E15" s="10">
        <f>MAX(0,MIN(5,($C$6-$C$5)-3*5))/MAX(1,$C$6-$C$5)</f>
        <v/>
      </c>
      <c r="F15" s="11">
        <f>INDEX(Settings!$C$13:$C$16,MATCH($C15,Settings!$A$13:$A$16,0))</f>
        <v/>
      </c>
      <c r="G15" s="11">
        <f>INDEX(Settings!$E$13:$E$16,MATCH($C15,Settings!$A$13:$A$16,0))</f>
        <v/>
      </c>
    </row>
    <row r="16">
      <c r="A16" s="5">
        <f>"Age "&amp;($C$5+4*5)&amp;"–"&amp;($C$5+5*5)</f>
        <v/>
      </c>
      <c r="C16" s="6" t="inlineStr">
        <is>
          <t>MOD</t>
        </is>
      </c>
      <c r="E16" s="10">
        <f>MAX(0,MIN(5,($C$6-$C$5)-4*5))/MAX(1,$C$6-$C$5)</f>
        <v/>
      </c>
      <c r="F16" s="11">
        <f>INDEX(Settings!$C$13:$C$16,MATCH($C16,Settings!$A$13:$A$16,0))</f>
        <v/>
      </c>
      <c r="G16" s="11">
        <f>INDEX(Settings!$E$13:$E$16,MATCH($C16,Settings!$A$13:$A$16,0))</f>
        <v/>
      </c>
    </row>
    <row r="17">
      <c r="A17" s="5">
        <f>"Age "&amp;($C$5+5*5)&amp;"–"&amp;($C$5+6*5)</f>
        <v/>
      </c>
      <c r="C17" s="6" t="inlineStr">
        <is>
          <t>MOD</t>
        </is>
      </c>
      <c r="E17" s="10">
        <f>MAX(0,MIN(5,($C$6-$C$5)-5*5))/MAX(1,$C$6-$C$5)</f>
        <v/>
      </c>
      <c r="F17" s="11">
        <f>INDEX(Settings!$C$13:$C$16,MATCH($C17,Settings!$A$13:$A$16,0))</f>
        <v/>
      </c>
      <c r="G17" s="11">
        <f>INDEX(Settings!$E$13:$E$16,MATCH($C17,Settings!$A$13:$A$16,0))</f>
        <v/>
      </c>
    </row>
    <row r="18">
      <c r="A18" s="5">
        <f>"Age "&amp;($C$5+6*5)&amp;"–"&amp;($C$5+7*5)</f>
        <v/>
      </c>
      <c r="C18" s="6" t="inlineStr">
        <is>
          <t>MOD</t>
        </is>
      </c>
      <c r="E18" s="10">
        <f>MAX(0,MIN(5,($C$6-$C$5)-6*5))/MAX(1,$C$6-$C$5)</f>
        <v/>
      </c>
      <c r="F18" s="11">
        <f>INDEX(Settings!$C$13:$C$16,MATCH($C18,Settings!$A$13:$A$16,0))</f>
        <v/>
      </c>
      <c r="G18" s="11">
        <f>INDEX(Settings!$E$13:$E$16,MATCH($C18,Settings!$A$13:$A$16,0))</f>
        <v/>
      </c>
    </row>
    <row r="19">
      <c r="A19" s="5">
        <f>"Age "&amp;($C$5+7*5)&amp;"–"&amp;($C$5+8*5)</f>
        <v/>
      </c>
      <c r="C19" s="6" t="inlineStr">
        <is>
          <t>CONS</t>
        </is>
      </c>
      <c r="E19" s="10">
        <f>MAX(0,MIN(5,($C$6-$C$5)-7*5))/MAX(1,$C$6-$C$5)</f>
        <v/>
      </c>
      <c r="F19" s="11">
        <f>INDEX(Settings!$C$13:$C$16,MATCH($C19,Settings!$A$13:$A$16,0))</f>
        <v/>
      </c>
      <c r="G19" s="11">
        <f>INDEX(Settings!$E$13:$E$16,MATCH($C19,Settings!$A$13:$A$16,0))</f>
        <v/>
      </c>
    </row>
    <row r="20">
      <c r="A20" s="9" t="inlineStr">
        <is>
          <t>Default glide: VAGG to 35, AGG to 45, MOD to 60, CONS to 65. Grey columns = weight in horizon / tier stats (used by Statistics).</t>
        </is>
      </c>
    </row>
    <row r="22">
      <c r="A22" s="3" t="inlineStr">
        <is>
          <t>Outcome</t>
        </is>
      </c>
      <c r="B22" s="4" t="inlineStr"/>
      <c r="C22" s="4" t="inlineStr"/>
    </row>
    <row r="23">
      <c r="A23" s="5" t="inlineStr">
        <is>
          <t>Current tier / growth rate</t>
        </is>
      </c>
      <c r="C23" s="12">
        <f>$C$12&amp;"  ·  "&amp;TEXT($F$12,"0.0%")&amp;"/yr"</f>
        <v/>
      </c>
    </row>
    <row r="24">
      <c r="A24" s="5" t="inlineStr">
        <is>
          <t>Current monthly contribution</t>
        </is>
      </c>
      <c r="C24" s="13">
        <f>MIN($C$9,Settings!$B$19)</f>
        <v/>
      </c>
    </row>
    <row r="25">
      <c r="A25" s="5" t="inlineStr">
        <is>
          <t>Expected balance at end age</t>
        </is>
      </c>
      <c r="C25" s="13">
        <f>INDEX(Projection!$E:$E,(($C$6-$C$5)*12)+4)</f>
        <v/>
      </c>
    </row>
    <row r="26">
      <c r="A26" s="5" t="inlineStr">
        <is>
          <t>Low / High (±1 s.e.)</t>
        </is>
      </c>
      <c r="C26" s="12">
        <f>TEXT(INDEX(Projection!$F:$F,(($C$6-$C$5)*12)+4),"$#,##0")&amp;"  /  "&amp;TEXT(INDEX(Projection!$G:$G,(($C$6-$C$5)*12)+4),"$#,##0")</f>
        <v/>
      </c>
    </row>
    <row r="27">
      <c r="A27" s="5" t="inlineStr">
        <is>
          <t>Total contributed</t>
        </is>
      </c>
      <c r="C27" s="13">
        <f>$C$7+SUM(Projection!$D$5:INDEX(Projection!$D:$D,(($C$6-$C$5)*12)+4))</f>
        <v/>
      </c>
    </row>
    <row r="28">
      <c r="A28" s="5" t="inlineStr">
        <is>
          <t>Investment growth</t>
        </is>
      </c>
      <c r="C28" s="13">
        <f>C25-C27</f>
        <v/>
      </c>
    </row>
    <row r="29">
      <c r="A29" s="5" t="inlineStr">
        <is>
          <t>Wealth multiple (balance / contributed)</t>
        </is>
      </c>
      <c r="C29" s="14">
        <f>IF(C27=0,0,C25/C27)</f>
        <v/>
      </c>
    </row>
    <row r="31">
      <c r="A31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1:J31"/>
    <mergeCell ref="A2:J2"/>
  </mergeCells>
  <dataValidations count="1">
    <dataValidation sqref="C12 C13 C14 C15 C16 C17 C18 C19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Jun 2007 – Aug 2026 daily data, dividends included. Leveraged instruments simulated pre-2010. Forward validation: paper/ledger.csv (monthly, automated).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0.0837</v>
      </c>
      <c r="C6" s="19" t="n">
        <v>1.1858</v>
      </c>
      <c r="D6" s="19" t="n">
        <v>0.8632</v>
      </c>
      <c r="E6" s="18" t="n">
        <v>-0.1306</v>
      </c>
      <c r="F6" s="19" t="n">
        <v>0.1749</v>
      </c>
      <c r="G6" s="18" t="n">
        <v>0.1381</v>
      </c>
      <c r="H6" s="18" t="n">
        <v>0.09329999999999999</v>
      </c>
      <c r="I6" s="18" t="n">
        <v>-0.0127</v>
      </c>
      <c r="J6" s="18" t="n">
        <v>0.1949</v>
      </c>
      <c r="K6" s="18" t="n">
        <v>0.1357</v>
      </c>
    </row>
    <row r="7">
      <c r="A7" s="17" t="inlineStr">
        <is>
          <t>MOD</t>
        </is>
      </c>
      <c r="B7" s="20" t="n">
        <v>0.1327</v>
      </c>
      <c r="C7" s="21" t="n">
        <v>1.3476</v>
      </c>
      <c r="D7" s="21" t="n">
        <v>0.9798</v>
      </c>
      <c r="E7" s="20" t="n">
        <v>-0.1496</v>
      </c>
      <c r="F7" s="21" t="n">
        <v>0.3065</v>
      </c>
      <c r="G7" s="20" t="n">
        <v>0.1541</v>
      </c>
      <c r="H7" s="20" t="n">
        <v>0.2216</v>
      </c>
      <c r="I7" s="20" t="n">
        <v>-0.0292</v>
      </c>
      <c r="J7" s="20" t="n">
        <v>0.2553</v>
      </c>
      <c r="K7" s="20" t="n">
        <v>0.1916</v>
      </c>
    </row>
    <row r="8">
      <c r="A8" s="17" t="inlineStr">
        <is>
          <t>AGG</t>
        </is>
      </c>
      <c r="B8" s="18" t="n">
        <v>0.1985</v>
      </c>
      <c r="C8" s="19" t="n">
        <v>1.0121</v>
      </c>
      <c r="D8" s="19" t="n">
        <v>0.7635</v>
      </c>
      <c r="E8" s="18" t="n">
        <v>-0.365</v>
      </c>
      <c r="F8" s="19" t="n">
        <v>0.5868</v>
      </c>
      <c r="G8" s="18" t="n">
        <v>0.33</v>
      </c>
      <c r="H8" s="18" t="n">
        <v>0.6318</v>
      </c>
      <c r="I8" s="18" t="n">
        <v>-0.2428</v>
      </c>
      <c r="J8" s="18" t="n">
        <v>0.3696</v>
      </c>
      <c r="K8" s="18" t="n">
        <v>0.2083</v>
      </c>
    </row>
    <row r="9">
      <c r="A9" s="17" t="inlineStr">
        <is>
          <t>VAGG</t>
        </is>
      </c>
      <c r="B9" s="20" t="n">
        <v>0.267</v>
      </c>
      <c r="C9" s="21" t="n">
        <v>1.0056</v>
      </c>
      <c r="D9" s="21" t="n">
        <v>0.7679</v>
      </c>
      <c r="E9" s="20" t="n">
        <v>-0.5102</v>
      </c>
      <c r="F9" s="21" t="n">
        <v>0.8663</v>
      </c>
      <c r="G9" s="20" t="n">
        <v>0.5061</v>
      </c>
      <c r="H9" s="20" t="n">
        <v>0.9036999999999999</v>
      </c>
      <c r="I9" s="20" t="n">
        <v>-0.3465</v>
      </c>
      <c r="J9" s="20" t="n">
        <v>0.4406</v>
      </c>
      <c r="K9" s="20" t="n">
        <v>0.3146</v>
      </c>
    </row>
    <row r="10">
      <c r="A10" s="22" t="inlineStr">
        <is>
          <t>SPY B&amp;H</t>
        </is>
      </c>
      <c r="B10" s="18" t="n">
        <v>0.1082</v>
      </c>
      <c r="C10" s="19" t="n">
        <v>0.6697</v>
      </c>
      <c r="D10" s="19" t="n">
        <v>0.5458</v>
      </c>
      <c r="E10" s="18" t="n">
        <v>-0.5518999999999999</v>
      </c>
      <c r="F10" s="19" t="n">
        <v>1.0002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0.9358</v>
      </c>
      <c r="D11" s="19" t="n">
        <v>0.7202</v>
      </c>
      <c r="E11" s="18" t="n">
        <v>-0.534</v>
      </c>
      <c r="F11" s="19" t="n">
        <v>1.0467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</t>
        </is>
      </c>
      <c r="B32" s="28">
        <f>SUMPRODUCT(Dashboard!$E$12:$E$19,Dashboard!$F$12:$F$19)</f>
        <v/>
      </c>
    </row>
    <row r="33">
      <c r="A33" s="22" t="inlineStr">
        <is>
          <t>Glide-weighted annual sd</t>
        </is>
      </c>
      <c r="B33" s="28">
        <f>SUMPRODUCT(Dashboard!$E$12:$E$19,Dashboard!$G$12:$G$19)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same contributions, same horizon, SAME haircut on every row</t>
        </is>
      </c>
      <c r="B17" s="4" t="inlineStr"/>
      <c r="C17" s="4" t="inlineStr"/>
      <c r="D17" s="4" t="inlineStr"/>
      <c r="E17" s="4" t="inlineStr"/>
      <c r="F17" s="4" t="inlineStr"/>
      <c r="G17" s="35" t="inlineStr">
        <is>
          <t>Benchmark haircut:</t>
        </is>
      </c>
      <c r="H17" s="36">
        <f>Dashboard!$C$10</f>
        <v/>
      </c>
      <c r="I17" s="37" t="inlineStr">
        <is>
          <t>(links to Dashboard; overwrite to differ)</t>
        </is>
      </c>
    </row>
    <row r="18">
      <c r="A18" s="38" t="inlineStr">
        <is>
          <t>Portfolio</t>
        </is>
      </c>
      <c r="B18" s="38" t="inlineStr">
        <is>
          <t>Raw hist. CAGR</t>
        </is>
      </c>
      <c r="C18" s="38" t="inlineStr">
        <is>
          <t>Net expected (after haircut)</t>
        </is>
      </c>
      <c r="D18" s="38" t="inlineStr">
        <is>
          <t>Monthly</t>
        </is>
      </c>
      <c r="E18" s="38" t="inlineStr">
        <is>
          <t>Balance at end age</t>
        </is>
      </c>
      <c r="F18" s="38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B19*(1-$H$17)</f>
        <v/>
      </c>
      <c r="D19" s="39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3">
        <f>E19/$E$29-1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B20*(1-$H$17)</f>
        <v/>
      </c>
      <c r="D20" s="39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3">
        <f>E20/$E$29-1</f>
        <v/>
      </c>
    </row>
    <row r="21">
      <c r="A21" s="22" t="inlineStr">
        <is>
          <t>Dow Jones (DIA)</t>
        </is>
      </c>
      <c r="B21" s="8" t="n">
        <v>0.0978</v>
      </c>
      <c r="C21" s="23">
        <f>B21*(1-$H$17)</f>
        <v/>
      </c>
      <c r="D21" s="39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3">
        <f>E21/$E$29-1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B22*(1-$H$17)</f>
        <v/>
      </c>
      <c r="D22" s="39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3">
        <f>E22/$E$29-1</f>
        <v/>
      </c>
    </row>
    <row r="23">
      <c r="A23" s="22" t="inlineStr">
        <is>
          <t>All bonds (AGG)</t>
        </is>
      </c>
      <c r="B23" s="8" t="n">
        <v>0.0298</v>
      </c>
      <c r="C23" s="23">
        <f>B23*(1-$H$17)</f>
        <v/>
      </c>
      <c r="D23" s="39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3">
        <f>E23/$E$29-1</f>
        <v/>
      </c>
    </row>
    <row r="24">
      <c r="A24" s="22" t="inlineStr">
        <is>
          <t>Gold (GLD)</t>
        </is>
      </c>
      <c r="B24" s="8" t="n">
        <v>0.0998</v>
      </c>
      <c r="C24" s="23">
        <f>B24*(1-$H$17)</f>
        <v/>
      </c>
      <c r="D24" s="39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3">
        <f>E24/$E$29-1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Settings!$C$13</f>
        <v/>
      </c>
      <c r="D25" s="39">
        <f>(1+C25)^(1/12)-1</f>
        <v/>
      </c>
      <c r="E25" s="40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23">
        <f>E25/$E$29-1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Settings!$C$14</f>
        <v/>
      </c>
      <c r="D26" s="39">
        <f>(1+C26)^(1/12)-1</f>
        <v/>
      </c>
      <c r="E26" s="40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23">
        <f>E26/$E$29-1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Settings!$C$15</f>
        <v/>
      </c>
      <c r="D27" s="39">
        <f>(1+C27)^(1/12)-1</f>
        <v/>
      </c>
      <c r="E27" s="40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23">
        <f>E27/$E$29-1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Settings!$C$16</f>
        <v/>
      </c>
      <c r="D28" s="39">
        <f>(1+C28)^(1/12)-1</f>
        <v/>
      </c>
      <c r="E28" s="40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23">
        <f>E28/$E$29-1</f>
        <v/>
      </c>
    </row>
    <row r="29">
      <c r="A29" s="41" t="inlineStr">
        <is>
          <t>YOUR GLIDE PATH (exact)</t>
        </is>
      </c>
      <c r="B29" s="24">
        <f>Statistics!$B$32</f>
        <v/>
      </c>
      <c r="E29" s="42">
        <f>INDEX(Projection!$E:$E,(Settings!$B$9*12)+4)</f>
        <v/>
      </c>
    </row>
    <row r="31">
      <c r="A31" s="30" t="inlineStr">
        <is>
          <t>One haircut, every row: benchmarks and rotation tiers are discounted identically (benchmark haircut links to the Dashboard input; overwrite it only to make a deliberate argument). Rotation net = the Settings engine rate, so this table matches the Projection. Glide row is the exact month-by-month path.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INDEX(Dashboard!$C$12:$C$19,MIN(8,INT((1-1)/60)+1))</f>
        <v/>
      </c>
      <c r="D5" s="29">
        <f>MIN(Dashboard!$C$9,INDEX(Settings!$B$19:$B$58,MIN(40,INT((1-1)/12)+1)))</f>
        <v/>
      </c>
      <c r="E5" s="29">
        <f>Dashboard!$C$7*(1+INDEX(Settings!$B$13:$B$16,MATCH(C5,Settings!$A$13:$A$16,0)))+D5</f>
        <v/>
      </c>
      <c r="F5" s="29">
        <f>Dashboard!$C$7*(1+INDEX(Settings!$G$13:$G$16,MATCH(C5,Settings!$A$13:$A$16,0)))+D5</f>
        <v/>
      </c>
      <c r="G5" s="29">
        <f>Dashboard!$C$7*(1+INDEX(Settings!$H$13:$H$16,MATCH(C5,Settings!$A$13:$A$16,0)))+D5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INDEX(Dashboard!$C$12:$C$19,MIN(8,INT((2-1)/60)+1))</f>
        <v/>
      </c>
      <c r="D6" s="29">
        <f>MIN(Dashboard!$C$9,INDEX(Settings!$B$19:$B$58,MIN(40,INT((2-1)/12)+1)))</f>
        <v/>
      </c>
      <c r="E6" s="29">
        <f>E5*(1+INDEX(Settings!$B$13:$B$16,MATCH(C6,Settings!$A$13:$A$16,0)))+D6</f>
        <v/>
      </c>
      <c r="F6" s="29">
        <f>F5*(1+INDEX(Settings!$G$13:$G$16,MATCH(C6,Settings!$A$13:$A$16,0)))+D6</f>
        <v/>
      </c>
      <c r="G6" s="29">
        <f>G5*(1+INDEX(Settings!$H$13:$H$16,MATCH(C6,Settings!$A$13:$A$16,0)))+D6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INDEX(Dashboard!$C$12:$C$19,MIN(8,INT((3-1)/60)+1))</f>
        <v/>
      </c>
      <c r="D7" s="29">
        <f>MIN(Dashboard!$C$9,INDEX(Settings!$B$19:$B$58,MIN(40,INT((3-1)/12)+1)))</f>
        <v/>
      </c>
      <c r="E7" s="29">
        <f>E6*(1+INDEX(Settings!$B$13:$B$16,MATCH(C7,Settings!$A$13:$A$16,0)))+D7</f>
        <v/>
      </c>
      <c r="F7" s="29">
        <f>F6*(1+INDEX(Settings!$G$13:$G$16,MATCH(C7,Settings!$A$13:$A$16,0)))+D7</f>
        <v/>
      </c>
      <c r="G7" s="29">
        <f>G6*(1+INDEX(Settings!$H$13:$H$16,MATCH(C7,Settings!$A$13:$A$16,0)))+D7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INDEX(Dashboard!$C$12:$C$19,MIN(8,INT((4-1)/60)+1))</f>
        <v/>
      </c>
      <c r="D8" s="29">
        <f>MIN(Dashboard!$C$9,INDEX(Settings!$B$19:$B$58,MIN(40,INT((4-1)/12)+1)))</f>
        <v/>
      </c>
      <c r="E8" s="29">
        <f>E7*(1+INDEX(Settings!$B$13:$B$16,MATCH(C8,Settings!$A$13:$A$16,0)))+D8</f>
        <v/>
      </c>
      <c r="F8" s="29">
        <f>F7*(1+INDEX(Settings!$G$13:$G$16,MATCH(C8,Settings!$A$13:$A$16,0)))+D8</f>
        <v/>
      </c>
      <c r="G8" s="29">
        <f>G7*(1+INDEX(Settings!$H$13:$H$16,MATCH(C8,Settings!$A$13:$A$16,0)))+D8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INDEX(Dashboard!$C$12:$C$19,MIN(8,INT((5-1)/60)+1))</f>
        <v/>
      </c>
      <c r="D9" s="29">
        <f>MIN(Dashboard!$C$9,INDEX(Settings!$B$19:$B$58,MIN(40,INT((5-1)/12)+1)))</f>
        <v/>
      </c>
      <c r="E9" s="29">
        <f>E8*(1+INDEX(Settings!$B$13:$B$16,MATCH(C9,Settings!$A$13:$A$16,0)))+D9</f>
        <v/>
      </c>
      <c r="F9" s="29">
        <f>F8*(1+INDEX(Settings!$G$13:$G$16,MATCH(C9,Settings!$A$13:$A$16,0)))+D9</f>
        <v/>
      </c>
      <c r="G9" s="29">
        <f>G8*(1+INDEX(Settings!$H$13:$H$16,MATCH(C9,Settings!$A$13:$A$16,0)))+D9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INDEX(Dashboard!$C$12:$C$19,MIN(8,INT((6-1)/60)+1))</f>
        <v/>
      </c>
      <c r="D10" s="29">
        <f>MIN(Dashboard!$C$9,INDEX(Settings!$B$19:$B$58,MIN(40,INT((6-1)/12)+1)))</f>
        <v/>
      </c>
      <c r="E10" s="29">
        <f>E9*(1+INDEX(Settings!$B$13:$B$16,MATCH(C10,Settings!$A$13:$A$16,0)))+D10</f>
        <v/>
      </c>
      <c r="F10" s="29">
        <f>F9*(1+INDEX(Settings!$G$13:$G$16,MATCH(C10,Settings!$A$13:$A$16,0)))+D10</f>
        <v/>
      </c>
      <c r="G10" s="29">
        <f>G9*(1+INDEX(Settings!$H$13:$H$16,MATCH(C10,Settings!$A$13:$A$16,0)))+D10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INDEX(Dashboard!$C$12:$C$19,MIN(8,INT((7-1)/60)+1))</f>
        <v/>
      </c>
      <c r="D11" s="29">
        <f>MIN(Dashboard!$C$9,INDEX(Settings!$B$19:$B$58,MIN(40,INT((7-1)/12)+1)))</f>
        <v/>
      </c>
      <c r="E11" s="29">
        <f>E10*(1+INDEX(Settings!$B$13:$B$16,MATCH(C11,Settings!$A$13:$A$16,0)))+D11</f>
        <v/>
      </c>
      <c r="F11" s="29">
        <f>F10*(1+INDEX(Settings!$G$13:$G$16,MATCH(C11,Settings!$A$13:$A$16,0)))+D11</f>
        <v/>
      </c>
      <c r="G11" s="29">
        <f>G10*(1+INDEX(Settings!$H$13:$H$16,MATCH(C11,Settings!$A$13:$A$16,0)))+D11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INDEX(Dashboard!$C$12:$C$19,MIN(8,INT((8-1)/60)+1))</f>
        <v/>
      </c>
      <c r="D12" s="29">
        <f>MIN(Dashboard!$C$9,INDEX(Settings!$B$19:$B$58,MIN(40,INT((8-1)/12)+1)))</f>
        <v/>
      </c>
      <c r="E12" s="29">
        <f>E11*(1+INDEX(Settings!$B$13:$B$16,MATCH(C12,Settings!$A$13:$A$16,0)))+D12</f>
        <v/>
      </c>
      <c r="F12" s="29">
        <f>F11*(1+INDEX(Settings!$G$13:$G$16,MATCH(C12,Settings!$A$13:$A$16,0)))+D12</f>
        <v/>
      </c>
      <c r="G12" s="29">
        <f>G11*(1+INDEX(Settings!$H$13:$H$16,MATCH(C12,Settings!$A$13:$A$16,0)))+D12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INDEX(Dashboard!$C$12:$C$19,MIN(8,INT((9-1)/60)+1))</f>
        <v/>
      </c>
      <c r="D13" s="29">
        <f>MIN(Dashboard!$C$9,INDEX(Settings!$B$19:$B$58,MIN(40,INT((9-1)/12)+1)))</f>
        <v/>
      </c>
      <c r="E13" s="29">
        <f>E12*(1+INDEX(Settings!$B$13:$B$16,MATCH(C13,Settings!$A$13:$A$16,0)))+D13</f>
        <v/>
      </c>
      <c r="F13" s="29">
        <f>F12*(1+INDEX(Settings!$G$13:$G$16,MATCH(C13,Settings!$A$13:$A$16,0)))+D13</f>
        <v/>
      </c>
      <c r="G13" s="29">
        <f>G12*(1+INDEX(Settings!$H$13:$H$16,MATCH(C13,Settings!$A$13:$A$16,0)))+D13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INDEX(Dashboard!$C$12:$C$19,MIN(8,INT((10-1)/60)+1))</f>
        <v/>
      </c>
      <c r="D14" s="29">
        <f>MIN(Dashboard!$C$9,INDEX(Settings!$B$19:$B$58,MIN(40,INT((10-1)/12)+1)))</f>
        <v/>
      </c>
      <c r="E14" s="29">
        <f>E13*(1+INDEX(Settings!$B$13:$B$16,MATCH(C14,Settings!$A$13:$A$16,0)))+D14</f>
        <v/>
      </c>
      <c r="F14" s="29">
        <f>F13*(1+INDEX(Settings!$G$13:$G$16,MATCH(C14,Settings!$A$13:$A$16,0)))+D14</f>
        <v/>
      </c>
      <c r="G14" s="29">
        <f>G13*(1+INDEX(Settings!$H$13:$H$16,MATCH(C14,Settings!$A$13:$A$16,0)))+D14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INDEX(Dashboard!$C$12:$C$19,MIN(8,INT((11-1)/60)+1))</f>
        <v/>
      </c>
      <c r="D15" s="29">
        <f>MIN(Dashboard!$C$9,INDEX(Settings!$B$19:$B$58,MIN(40,INT((11-1)/12)+1)))</f>
        <v/>
      </c>
      <c r="E15" s="29">
        <f>E14*(1+INDEX(Settings!$B$13:$B$16,MATCH(C15,Settings!$A$13:$A$16,0)))+D15</f>
        <v/>
      </c>
      <c r="F15" s="29">
        <f>F14*(1+INDEX(Settings!$G$13:$G$16,MATCH(C15,Settings!$A$13:$A$16,0)))+D15</f>
        <v/>
      </c>
      <c r="G15" s="29">
        <f>G14*(1+INDEX(Settings!$H$13:$H$16,MATCH(C15,Settings!$A$13:$A$16,0)))+D15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INDEX(Dashboard!$C$12:$C$19,MIN(8,INT((12-1)/60)+1))</f>
        <v/>
      </c>
      <c r="D16" s="29">
        <f>MIN(Dashboard!$C$9,INDEX(Settings!$B$19:$B$58,MIN(40,INT((12-1)/12)+1)))</f>
        <v/>
      </c>
      <c r="E16" s="29">
        <f>E15*(1+INDEX(Settings!$B$13:$B$16,MATCH(C16,Settings!$A$13:$A$16,0)))+D16</f>
        <v/>
      </c>
      <c r="F16" s="29">
        <f>F15*(1+INDEX(Settings!$G$13:$G$16,MATCH(C16,Settings!$A$13:$A$16,0)))+D16</f>
        <v/>
      </c>
      <c r="G16" s="29">
        <f>G15*(1+INDEX(Settings!$H$13:$H$16,MATCH(C16,Settings!$A$13:$A$16,0)))+D16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INDEX(Dashboard!$C$12:$C$19,MIN(8,INT((13-1)/60)+1))</f>
        <v/>
      </c>
      <c r="D17" s="29">
        <f>MIN(Dashboard!$C$9,INDEX(Settings!$B$19:$B$58,MIN(40,INT((13-1)/12)+1)))</f>
        <v/>
      </c>
      <c r="E17" s="29">
        <f>E16*(1+INDEX(Settings!$B$13:$B$16,MATCH(C17,Settings!$A$13:$A$16,0)))+D17</f>
        <v/>
      </c>
      <c r="F17" s="29">
        <f>F16*(1+INDEX(Settings!$G$13:$G$16,MATCH(C17,Settings!$A$13:$A$16,0)))+D17</f>
        <v/>
      </c>
      <c r="G17" s="29">
        <f>G16*(1+INDEX(Settings!$H$13:$H$16,MATCH(C17,Settings!$A$13:$A$16,0)))+D17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INDEX(Dashboard!$C$12:$C$19,MIN(8,INT((14-1)/60)+1))</f>
        <v/>
      </c>
      <c r="D18" s="29">
        <f>MIN(Dashboard!$C$9,INDEX(Settings!$B$19:$B$58,MIN(40,INT((14-1)/12)+1)))</f>
        <v/>
      </c>
      <c r="E18" s="29">
        <f>E17*(1+INDEX(Settings!$B$13:$B$16,MATCH(C18,Settings!$A$13:$A$16,0)))+D18</f>
        <v/>
      </c>
      <c r="F18" s="29">
        <f>F17*(1+INDEX(Settings!$G$13:$G$16,MATCH(C18,Settings!$A$13:$A$16,0)))+D18</f>
        <v/>
      </c>
      <c r="G18" s="29">
        <f>G17*(1+INDEX(Settings!$H$13:$H$16,MATCH(C18,Settings!$A$13:$A$16,0)))+D18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INDEX(Dashboard!$C$12:$C$19,MIN(8,INT((15-1)/60)+1))</f>
        <v/>
      </c>
      <c r="D19" s="29">
        <f>MIN(Dashboard!$C$9,INDEX(Settings!$B$19:$B$58,MIN(40,INT((15-1)/12)+1)))</f>
        <v/>
      </c>
      <c r="E19" s="29">
        <f>E18*(1+INDEX(Settings!$B$13:$B$16,MATCH(C19,Settings!$A$13:$A$16,0)))+D19</f>
        <v/>
      </c>
      <c r="F19" s="29">
        <f>F18*(1+INDEX(Settings!$G$13:$G$16,MATCH(C19,Settings!$A$13:$A$16,0)))+D19</f>
        <v/>
      </c>
      <c r="G19" s="29">
        <f>G18*(1+INDEX(Settings!$H$13:$H$16,MATCH(C19,Settings!$A$13:$A$16,0)))+D19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INDEX(Dashboard!$C$12:$C$19,MIN(8,INT((16-1)/60)+1))</f>
        <v/>
      </c>
      <c r="D20" s="29">
        <f>MIN(Dashboard!$C$9,INDEX(Settings!$B$19:$B$58,MIN(40,INT((16-1)/12)+1)))</f>
        <v/>
      </c>
      <c r="E20" s="29">
        <f>E19*(1+INDEX(Settings!$B$13:$B$16,MATCH(C20,Settings!$A$13:$A$16,0)))+D20</f>
        <v/>
      </c>
      <c r="F20" s="29">
        <f>F19*(1+INDEX(Settings!$G$13:$G$16,MATCH(C20,Settings!$A$13:$A$16,0)))+D20</f>
        <v/>
      </c>
      <c r="G20" s="29">
        <f>G19*(1+INDEX(Settings!$H$13:$H$16,MATCH(C20,Settings!$A$13:$A$16,0)))+D20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INDEX(Dashboard!$C$12:$C$19,MIN(8,INT((17-1)/60)+1))</f>
        <v/>
      </c>
      <c r="D21" s="29">
        <f>MIN(Dashboard!$C$9,INDEX(Settings!$B$19:$B$58,MIN(40,INT((17-1)/12)+1)))</f>
        <v/>
      </c>
      <c r="E21" s="29">
        <f>E20*(1+INDEX(Settings!$B$13:$B$16,MATCH(C21,Settings!$A$13:$A$16,0)))+D21</f>
        <v/>
      </c>
      <c r="F21" s="29">
        <f>F20*(1+INDEX(Settings!$G$13:$G$16,MATCH(C21,Settings!$A$13:$A$16,0)))+D21</f>
        <v/>
      </c>
      <c r="G21" s="29">
        <f>G20*(1+INDEX(Settings!$H$13:$H$16,MATCH(C21,Settings!$A$13:$A$16,0)))+D21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INDEX(Dashboard!$C$12:$C$19,MIN(8,INT((18-1)/60)+1))</f>
        <v/>
      </c>
      <c r="D22" s="29">
        <f>MIN(Dashboard!$C$9,INDEX(Settings!$B$19:$B$58,MIN(40,INT((18-1)/12)+1)))</f>
        <v/>
      </c>
      <c r="E22" s="29">
        <f>E21*(1+INDEX(Settings!$B$13:$B$16,MATCH(C22,Settings!$A$13:$A$16,0)))+D22</f>
        <v/>
      </c>
      <c r="F22" s="29">
        <f>F21*(1+INDEX(Settings!$G$13:$G$16,MATCH(C22,Settings!$A$13:$A$16,0)))+D22</f>
        <v/>
      </c>
      <c r="G22" s="29">
        <f>G21*(1+INDEX(Settings!$H$13:$H$16,MATCH(C22,Settings!$A$13:$A$16,0)))+D22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INDEX(Dashboard!$C$12:$C$19,MIN(8,INT((19-1)/60)+1))</f>
        <v/>
      </c>
      <c r="D23" s="29">
        <f>MIN(Dashboard!$C$9,INDEX(Settings!$B$19:$B$58,MIN(40,INT((19-1)/12)+1)))</f>
        <v/>
      </c>
      <c r="E23" s="29">
        <f>E22*(1+INDEX(Settings!$B$13:$B$16,MATCH(C23,Settings!$A$13:$A$16,0)))+D23</f>
        <v/>
      </c>
      <c r="F23" s="29">
        <f>F22*(1+INDEX(Settings!$G$13:$G$16,MATCH(C23,Settings!$A$13:$A$16,0)))+D23</f>
        <v/>
      </c>
      <c r="G23" s="29">
        <f>G22*(1+INDEX(Settings!$H$13:$H$16,MATCH(C23,Settings!$A$13:$A$16,0)))+D23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INDEX(Dashboard!$C$12:$C$19,MIN(8,INT((20-1)/60)+1))</f>
        <v/>
      </c>
      <c r="D24" s="29">
        <f>MIN(Dashboard!$C$9,INDEX(Settings!$B$19:$B$58,MIN(40,INT((20-1)/12)+1)))</f>
        <v/>
      </c>
      <c r="E24" s="29">
        <f>E23*(1+INDEX(Settings!$B$13:$B$16,MATCH(C24,Settings!$A$13:$A$16,0)))+D24</f>
        <v/>
      </c>
      <c r="F24" s="29">
        <f>F23*(1+INDEX(Settings!$G$13:$G$16,MATCH(C24,Settings!$A$13:$A$16,0)))+D24</f>
        <v/>
      </c>
      <c r="G24" s="29">
        <f>G23*(1+INDEX(Settings!$H$13:$H$16,MATCH(C24,Settings!$A$13:$A$16,0)))+D24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INDEX(Dashboard!$C$12:$C$19,MIN(8,INT((21-1)/60)+1))</f>
        <v/>
      </c>
      <c r="D25" s="29">
        <f>MIN(Dashboard!$C$9,INDEX(Settings!$B$19:$B$58,MIN(40,INT((21-1)/12)+1)))</f>
        <v/>
      </c>
      <c r="E25" s="29">
        <f>E24*(1+INDEX(Settings!$B$13:$B$16,MATCH(C25,Settings!$A$13:$A$16,0)))+D25</f>
        <v/>
      </c>
      <c r="F25" s="29">
        <f>F24*(1+INDEX(Settings!$G$13:$G$16,MATCH(C25,Settings!$A$13:$A$16,0)))+D25</f>
        <v/>
      </c>
      <c r="G25" s="29">
        <f>G24*(1+INDEX(Settings!$H$13:$H$16,MATCH(C25,Settings!$A$13:$A$16,0)))+D25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INDEX(Dashboard!$C$12:$C$19,MIN(8,INT((22-1)/60)+1))</f>
        <v/>
      </c>
      <c r="D26" s="29">
        <f>MIN(Dashboard!$C$9,INDEX(Settings!$B$19:$B$58,MIN(40,INT((22-1)/12)+1)))</f>
        <v/>
      </c>
      <c r="E26" s="29">
        <f>E25*(1+INDEX(Settings!$B$13:$B$16,MATCH(C26,Settings!$A$13:$A$16,0)))+D26</f>
        <v/>
      </c>
      <c r="F26" s="29">
        <f>F25*(1+INDEX(Settings!$G$13:$G$16,MATCH(C26,Settings!$A$13:$A$16,0)))+D26</f>
        <v/>
      </c>
      <c r="G26" s="29">
        <f>G25*(1+INDEX(Settings!$H$13:$H$16,MATCH(C26,Settings!$A$13:$A$16,0)))+D26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INDEX(Dashboard!$C$12:$C$19,MIN(8,INT((23-1)/60)+1))</f>
        <v/>
      </c>
      <c r="D27" s="29">
        <f>MIN(Dashboard!$C$9,INDEX(Settings!$B$19:$B$58,MIN(40,INT((23-1)/12)+1)))</f>
        <v/>
      </c>
      <c r="E27" s="29">
        <f>E26*(1+INDEX(Settings!$B$13:$B$16,MATCH(C27,Settings!$A$13:$A$16,0)))+D27</f>
        <v/>
      </c>
      <c r="F27" s="29">
        <f>F26*(1+INDEX(Settings!$G$13:$G$16,MATCH(C27,Settings!$A$13:$A$16,0)))+D27</f>
        <v/>
      </c>
      <c r="G27" s="29">
        <f>G26*(1+INDEX(Settings!$H$13:$H$16,MATCH(C27,Settings!$A$13:$A$16,0)))+D27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INDEX(Dashboard!$C$12:$C$19,MIN(8,INT((24-1)/60)+1))</f>
        <v/>
      </c>
      <c r="D28" s="29">
        <f>MIN(Dashboard!$C$9,INDEX(Settings!$B$19:$B$58,MIN(40,INT((24-1)/12)+1)))</f>
        <v/>
      </c>
      <c r="E28" s="29">
        <f>E27*(1+INDEX(Settings!$B$13:$B$16,MATCH(C28,Settings!$A$13:$A$16,0)))+D28</f>
        <v/>
      </c>
      <c r="F28" s="29">
        <f>F27*(1+INDEX(Settings!$G$13:$G$16,MATCH(C28,Settings!$A$13:$A$16,0)))+D28</f>
        <v/>
      </c>
      <c r="G28" s="29">
        <f>G27*(1+INDEX(Settings!$H$13:$H$16,MATCH(C28,Settings!$A$13:$A$16,0)))+D28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INDEX(Dashboard!$C$12:$C$19,MIN(8,INT((25-1)/60)+1))</f>
        <v/>
      </c>
      <c r="D29" s="29">
        <f>MIN(Dashboard!$C$9,INDEX(Settings!$B$19:$B$58,MIN(40,INT((25-1)/12)+1)))</f>
        <v/>
      </c>
      <c r="E29" s="29">
        <f>E28*(1+INDEX(Settings!$B$13:$B$16,MATCH(C29,Settings!$A$13:$A$16,0)))+D29</f>
        <v/>
      </c>
      <c r="F29" s="29">
        <f>F28*(1+INDEX(Settings!$G$13:$G$16,MATCH(C29,Settings!$A$13:$A$16,0)))+D29</f>
        <v/>
      </c>
      <c r="G29" s="29">
        <f>G28*(1+INDEX(Settings!$H$13:$H$16,MATCH(C29,Settings!$A$13:$A$16,0)))+D29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INDEX(Dashboard!$C$12:$C$19,MIN(8,INT((26-1)/60)+1))</f>
        <v/>
      </c>
      <c r="D30" s="29">
        <f>MIN(Dashboard!$C$9,INDEX(Settings!$B$19:$B$58,MIN(40,INT((26-1)/12)+1)))</f>
        <v/>
      </c>
      <c r="E30" s="29">
        <f>E29*(1+INDEX(Settings!$B$13:$B$16,MATCH(C30,Settings!$A$13:$A$16,0)))+D30</f>
        <v/>
      </c>
      <c r="F30" s="29">
        <f>F29*(1+INDEX(Settings!$G$13:$G$16,MATCH(C30,Settings!$A$13:$A$16,0)))+D30</f>
        <v/>
      </c>
      <c r="G30" s="29">
        <f>G29*(1+INDEX(Settings!$H$13:$H$16,MATCH(C30,Settings!$A$13:$A$16,0)))+D30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INDEX(Dashboard!$C$12:$C$19,MIN(8,INT((27-1)/60)+1))</f>
        <v/>
      </c>
      <c r="D31" s="29">
        <f>MIN(Dashboard!$C$9,INDEX(Settings!$B$19:$B$58,MIN(40,INT((27-1)/12)+1)))</f>
        <v/>
      </c>
      <c r="E31" s="29">
        <f>E30*(1+INDEX(Settings!$B$13:$B$16,MATCH(C31,Settings!$A$13:$A$16,0)))+D31</f>
        <v/>
      </c>
      <c r="F31" s="29">
        <f>F30*(1+INDEX(Settings!$G$13:$G$16,MATCH(C31,Settings!$A$13:$A$16,0)))+D31</f>
        <v/>
      </c>
      <c r="G31" s="29">
        <f>G30*(1+INDEX(Settings!$H$13:$H$16,MATCH(C31,Settings!$A$13:$A$16,0)))+D31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INDEX(Dashboard!$C$12:$C$19,MIN(8,INT((28-1)/60)+1))</f>
        <v/>
      </c>
      <c r="D32" s="29">
        <f>MIN(Dashboard!$C$9,INDEX(Settings!$B$19:$B$58,MIN(40,INT((28-1)/12)+1)))</f>
        <v/>
      </c>
      <c r="E32" s="29">
        <f>E31*(1+INDEX(Settings!$B$13:$B$16,MATCH(C32,Settings!$A$13:$A$16,0)))+D32</f>
        <v/>
      </c>
      <c r="F32" s="29">
        <f>F31*(1+INDEX(Settings!$G$13:$G$16,MATCH(C32,Settings!$A$13:$A$16,0)))+D32</f>
        <v/>
      </c>
      <c r="G32" s="29">
        <f>G31*(1+INDEX(Settings!$H$13:$H$16,MATCH(C32,Settings!$A$13:$A$16,0)))+D32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INDEX(Dashboard!$C$12:$C$19,MIN(8,INT((29-1)/60)+1))</f>
        <v/>
      </c>
      <c r="D33" s="29">
        <f>MIN(Dashboard!$C$9,INDEX(Settings!$B$19:$B$58,MIN(40,INT((29-1)/12)+1)))</f>
        <v/>
      </c>
      <c r="E33" s="29">
        <f>E32*(1+INDEX(Settings!$B$13:$B$16,MATCH(C33,Settings!$A$13:$A$16,0)))+D33</f>
        <v/>
      </c>
      <c r="F33" s="29">
        <f>F32*(1+INDEX(Settings!$G$13:$G$16,MATCH(C33,Settings!$A$13:$A$16,0)))+D33</f>
        <v/>
      </c>
      <c r="G33" s="29">
        <f>G32*(1+INDEX(Settings!$H$13:$H$16,MATCH(C33,Settings!$A$13:$A$16,0)))+D33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INDEX(Dashboard!$C$12:$C$19,MIN(8,INT((30-1)/60)+1))</f>
        <v/>
      </c>
      <c r="D34" s="29">
        <f>MIN(Dashboard!$C$9,INDEX(Settings!$B$19:$B$58,MIN(40,INT((30-1)/12)+1)))</f>
        <v/>
      </c>
      <c r="E34" s="29">
        <f>E33*(1+INDEX(Settings!$B$13:$B$16,MATCH(C34,Settings!$A$13:$A$16,0)))+D34</f>
        <v/>
      </c>
      <c r="F34" s="29">
        <f>F33*(1+INDEX(Settings!$G$13:$G$16,MATCH(C34,Settings!$A$13:$A$16,0)))+D34</f>
        <v/>
      </c>
      <c r="G34" s="29">
        <f>G33*(1+INDEX(Settings!$H$13:$H$16,MATCH(C34,Settings!$A$13:$A$16,0)))+D34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INDEX(Dashboard!$C$12:$C$19,MIN(8,INT((31-1)/60)+1))</f>
        <v/>
      </c>
      <c r="D35" s="29">
        <f>MIN(Dashboard!$C$9,INDEX(Settings!$B$19:$B$58,MIN(40,INT((31-1)/12)+1)))</f>
        <v/>
      </c>
      <c r="E35" s="29">
        <f>E34*(1+INDEX(Settings!$B$13:$B$16,MATCH(C35,Settings!$A$13:$A$16,0)))+D35</f>
        <v/>
      </c>
      <c r="F35" s="29">
        <f>F34*(1+INDEX(Settings!$G$13:$G$16,MATCH(C35,Settings!$A$13:$A$16,0)))+D35</f>
        <v/>
      </c>
      <c r="G35" s="29">
        <f>G34*(1+INDEX(Settings!$H$13:$H$16,MATCH(C35,Settings!$A$13:$A$16,0)))+D35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INDEX(Dashboard!$C$12:$C$19,MIN(8,INT((32-1)/60)+1))</f>
        <v/>
      </c>
      <c r="D36" s="29">
        <f>MIN(Dashboard!$C$9,INDEX(Settings!$B$19:$B$58,MIN(40,INT((32-1)/12)+1)))</f>
        <v/>
      </c>
      <c r="E36" s="29">
        <f>E35*(1+INDEX(Settings!$B$13:$B$16,MATCH(C36,Settings!$A$13:$A$16,0)))+D36</f>
        <v/>
      </c>
      <c r="F36" s="29">
        <f>F35*(1+INDEX(Settings!$G$13:$G$16,MATCH(C36,Settings!$A$13:$A$16,0)))+D36</f>
        <v/>
      </c>
      <c r="G36" s="29">
        <f>G35*(1+INDEX(Settings!$H$13:$H$16,MATCH(C36,Settings!$A$13:$A$16,0)))+D36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INDEX(Dashboard!$C$12:$C$19,MIN(8,INT((33-1)/60)+1))</f>
        <v/>
      </c>
      <c r="D37" s="29">
        <f>MIN(Dashboard!$C$9,INDEX(Settings!$B$19:$B$58,MIN(40,INT((33-1)/12)+1)))</f>
        <v/>
      </c>
      <c r="E37" s="29">
        <f>E36*(1+INDEX(Settings!$B$13:$B$16,MATCH(C37,Settings!$A$13:$A$16,0)))+D37</f>
        <v/>
      </c>
      <c r="F37" s="29">
        <f>F36*(1+INDEX(Settings!$G$13:$G$16,MATCH(C37,Settings!$A$13:$A$16,0)))+D37</f>
        <v/>
      </c>
      <c r="G37" s="29">
        <f>G36*(1+INDEX(Settings!$H$13:$H$16,MATCH(C37,Settings!$A$13:$A$16,0)))+D37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INDEX(Dashboard!$C$12:$C$19,MIN(8,INT((34-1)/60)+1))</f>
        <v/>
      </c>
      <c r="D38" s="29">
        <f>MIN(Dashboard!$C$9,INDEX(Settings!$B$19:$B$58,MIN(40,INT((34-1)/12)+1)))</f>
        <v/>
      </c>
      <c r="E38" s="29">
        <f>E37*(1+INDEX(Settings!$B$13:$B$16,MATCH(C38,Settings!$A$13:$A$16,0)))+D38</f>
        <v/>
      </c>
      <c r="F38" s="29">
        <f>F37*(1+INDEX(Settings!$G$13:$G$16,MATCH(C38,Settings!$A$13:$A$16,0)))+D38</f>
        <v/>
      </c>
      <c r="G38" s="29">
        <f>G37*(1+INDEX(Settings!$H$13:$H$16,MATCH(C38,Settings!$A$13:$A$16,0)))+D38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INDEX(Dashboard!$C$12:$C$19,MIN(8,INT((35-1)/60)+1))</f>
        <v/>
      </c>
      <c r="D39" s="29">
        <f>MIN(Dashboard!$C$9,INDEX(Settings!$B$19:$B$58,MIN(40,INT((35-1)/12)+1)))</f>
        <v/>
      </c>
      <c r="E39" s="29">
        <f>E38*(1+INDEX(Settings!$B$13:$B$16,MATCH(C39,Settings!$A$13:$A$16,0)))+D39</f>
        <v/>
      </c>
      <c r="F39" s="29">
        <f>F38*(1+INDEX(Settings!$G$13:$G$16,MATCH(C39,Settings!$A$13:$A$16,0)))+D39</f>
        <v/>
      </c>
      <c r="G39" s="29">
        <f>G38*(1+INDEX(Settings!$H$13:$H$16,MATCH(C39,Settings!$A$13:$A$16,0)))+D39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INDEX(Dashboard!$C$12:$C$19,MIN(8,INT((36-1)/60)+1))</f>
        <v/>
      </c>
      <c r="D40" s="29">
        <f>MIN(Dashboard!$C$9,INDEX(Settings!$B$19:$B$58,MIN(40,INT((36-1)/12)+1)))</f>
        <v/>
      </c>
      <c r="E40" s="29">
        <f>E39*(1+INDEX(Settings!$B$13:$B$16,MATCH(C40,Settings!$A$13:$A$16,0)))+D40</f>
        <v/>
      </c>
      <c r="F40" s="29">
        <f>F39*(1+INDEX(Settings!$G$13:$G$16,MATCH(C40,Settings!$A$13:$A$16,0)))+D40</f>
        <v/>
      </c>
      <c r="G40" s="29">
        <f>G39*(1+INDEX(Settings!$H$13:$H$16,MATCH(C40,Settings!$A$13:$A$16,0)))+D40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INDEX(Dashboard!$C$12:$C$19,MIN(8,INT((37-1)/60)+1))</f>
        <v/>
      </c>
      <c r="D41" s="29">
        <f>MIN(Dashboard!$C$9,INDEX(Settings!$B$19:$B$58,MIN(40,INT((37-1)/12)+1)))</f>
        <v/>
      </c>
      <c r="E41" s="29">
        <f>E40*(1+INDEX(Settings!$B$13:$B$16,MATCH(C41,Settings!$A$13:$A$16,0)))+D41</f>
        <v/>
      </c>
      <c r="F41" s="29">
        <f>F40*(1+INDEX(Settings!$G$13:$G$16,MATCH(C41,Settings!$A$13:$A$16,0)))+D41</f>
        <v/>
      </c>
      <c r="G41" s="29">
        <f>G40*(1+INDEX(Settings!$H$13:$H$16,MATCH(C41,Settings!$A$13:$A$16,0)))+D41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INDEX(Dashboard!$C$12:$C$19,MIN(8,INT((38-1)/60)+1))</f>
        <v/>
      </c>
      <c r="D42" s="29">
        <f>MIN(Dashboard!$C$9,INDEX(Settings!$B$19:$B$58,MIN(40,INT((38-1)/12)+1)))</f>
        <v/>
      </c>
      <c r="E42" s="29">
        <f>E41*(1+INDEX(Settings!$B$13:$B$16,MATCH(C42,Settings!$A$13:$A$16,0)))+D42</f>
        <v/>
      </c>
      <c r="F42" s="29">
        <f>F41*(1+INDEX(Settings!$G$13:$G$16,MATCH(C42,Settings!$A$13:$A$16,0)))+D42</f>
        <v/>
      </c>
      <c r="G42" s="29">
        <f>G41*(1+INDEX(Settings!$H$13:$H$16,MATCH(C42,Settings!$A$13:$A$16,0)))+D42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INDEX(Dashboard!$C$12:$C$19,MIN(8,INT((39-1)/60)+1))</f>
        <v/>
      </c>
      <c r="D43" s="29">
        <f>MIN(Dashboard!$C$9,INDEX(Settings!$B$19:$B$58,MIN(40,INT((39-1)/12)+1)))</f>
        <v/>
      </c>
      <c r="E43" s="29">
        <f>E42*(1+INDEX(Settings!$B$13:$B$16,MATCH(C43,Settings!$A$13:$A$16,0)))+D43</f>
        <v/>
      </c>
      <c r="F43" s="29">
        <f>F42*(1+INDEX(Settings!$G$13:$G$16,MATCH(C43,Settings!$A$13:$A$16,0)))+D43</f>
        <v/>
      </c>
      <c r="G43" s="29">
        <f>G42*(1+INDEX(Settings!$H$13:$H$16,MATCH(C43,Settings!$A$13:$A$16,0)))+D43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INDEX(Dashboard!$C$12:$C$19,MIN(8,INT((40-1)/60)+1))</f>
        <v/>
      </c>
      <c r="D44" s="29">
        <f>MIN(Dashboard!$C$9,INDEX(Settings!$B$19:$B$58,MIN(40,INT((40-1)/12)+1)))</f>
        <v/>
      </c>
      <c r="E44" s="29">
        <f>E43*(1+INDEX(Settings!$B$13:$B$16,MATCH(C44,Settings!$A$13:$A$16,0)))+D44</f>
        <v/>
      </c>
      <c r="F44" s="29">
        <f>F43*(1+INDEX(Settings!$G$13:$G$16,MATCH(C44,Settings!$A$13:$A$16,0)))+D44</f>
        <v/>
      </c>
      <c r="G44" s="29">
        <f>G43*(1+INDEX(Settings!$H$13:$H$16,MATCH(C44,Settings!$A$13:$A$16,0)))+D44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INDEX(Dashboard!$C$12:$C$19,MIN(8,INT((41-1)/60)+1))</f>
        <v/>
      </c>
      <c r="D45" s="29">
        <f>MIN(Dashboard!$C$9,INDEX(Settings!$B$19:$B$58,MIN(40,INT((41-1)/12)+1)))</f>
        <v/>
      </c>
      <c r="E45" s="29">
        <f>E44*(1+INDEX(Settings!$B$13:$B$16,MATCH(C45,Settings!$A$13:$A$16,0)))+D45</f>
        <v/>
      </c>
      <c r="F45" s="29">
        <f>F44*(1+INDEX(Settings!$G$13:$G$16,MATCH(C45,Settings!$A$13:$A$16,0)))+D45</f>
        <v/>
      </c>
      <c r="G45" s="29">
        <f>G44*(1+INDEX(Settings!$H$13:$H$16,MATCH(C45,Settings!$A$13:$A$16,0)))+D45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INDEX(Dashboard!$C$12:$C$19,MIN(8,INT((42-1)/60)+1))</f>
        <v/>
      </c>
      <c r="D46" s="29">
        <f>MIN(Dashboard!$C$9,INDEX(Settings!$B$19:$B$58,MIN(40,INT((42-1)/12)+1)))</f>
        <v/>
      </c>
      <c r="E46" s="29">
        <f>E45*(1+INDEX(Settings!$B$13:$B$16,MATCH(C46,Settings!$A$13:$A$16,0)))+D46</f>
        <v/>
      </c>
      <c r="F46" s="29">
        <f>F45*(1+INDEX(Settings!$G$13:$G$16,MATCH(C46,Settings!$A$13:$A$16,0)))+D46</f>
        <v/>
      </c>
      <c r="G46" s="29">
        <f>G45*(1+INDEX(Settings!$H$13:$H$16,MATCH(C46,Settings!$A$13:$A$16,0)))+D46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INDEX(Dashboard!$C$12:$C$19,MIN(8,INT((43-1)/60)+1))</f>
        <v/>
      </c>
      <c r="D47" s="29">
        <f>MIN(Dashboard!$C$9,INDEX(Settings!$B$19:$B$58,MIN(40,INT((43-1)/12)+1)))</f>
        <v/>
      </c>
      <c r="E47" s="29">
        <f>E46*(1+INDEX(Settings!$B$13:$B$16,MATCH(C47,Settings!$A$13:$A$16,0)))+D47</f>
        <v/>
      </c>
      <c r="F47" s="29">
        <f>F46*(1+INDEX(Settings!$G$13:$G$16,MATCH(C47,Settings!$A$13:$A$16,0)))+D47</f>
        <v/>
      </c>
      <c r="G47" s="29">
        <f>G46*(1+INDEX(Settings!$H$13:$H$16,MATCH(C47,Settings!$A$13:$A$16,0)))+D47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INDEX(Dashboard!$C$12:$C$19,MIN(8,INT((44-1)/60)+1))</f>
        <v/>
      </c>
      <c r="D48" s="29">
        <f>MIN(Dashboard!$C$9,INDEX(Settings!$B$19:$B$58,MIN(40,INT((44-1)/12)+1)))</f>
        <v/>
      </c>
      <c r="E48" s="29">
        <f>E47*(1+INDEX(Settings!$B$13:$B$16,MATCH(C48,Settings!$A$13:$A$16,0)))+D48</f>
        <v/>
      </c>
      <c r="F48" s="29">
        <f>F47*(1+INDEX(Settings!$G$13:$G$16,MATCH(C48,Settings!$A$13:$A$16,0)))+D48</f>
        <v/>
      </c>
      <c r="G48" s="29">
        <f>G47*(1+INDEX(Settings!$H$13:$H$16,MATCH(C48,Settings!$A$13:$A$16,0)))+D48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INDEX(Dashboard!$C$12:$C$19,MIN(8,INT((45-1)/60)+1))</f>
        <v/>
      </c>
      <c r="D49" s="29">
        <f>MIN(Dashboard!$C$9,INDEX(Settings!$B$19:$B$58,MIN(40,INT((45-1)/12)+1)))</f>
        <v/>
      </c>
      <c r="E49" s="29">
        <f>E48*(1+INDEX(Settings!$B$13:$B$16,MATCH(C49,Settings!$A$13:$A$16,0)))+D49</f>
        <v/>
      </c>
      <c r="F49" s="29">
        <f>F48*(1+INDEX(Settings!$G$13:$G$16,MATCH(C49,Settings!$A$13:$A$16,0)))+D49</f>
        <v/>
      </c>
      <c r="G49" s="29">
        <f>G48*(1+INDEX(Settings!$H$13:$H$16,MATCH(C49,Settings!$A$13:$A$16,0)))+D49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INDEX(Dashboard!$C$12:$C$19,MIN(8,INT((46-1)/60)+1))</f>
        <v/>
      </c>
      <c r="D50" s="29">
        <f>MIN(Dashboard!$C$9,INDEX(Settings!$B$19:$B$58,MIN(40,INT((46-1)/12)+1)))</f>
        <v/>
      </c>
      <c r="E50" s="29">
        <f>E49*(1+INDEX(Settings!$B$13:$B$16,MATCH(C50,Settings!$A$13:$A$16,0)))+D50</f>
        <v/>
      </c>
      <c r="F50" s="29">
        <f>F49*(1+INDEX(Settings!$G$13:$G$16,MATCH(C50,Settings!$A$13:$A$16,0)))+D50</f>
        <v/>
      </c>
      <c r="G50" s="29">
        <f>G49*(1+INDEX(Settings!$H$13:$H$16,MATCH(C50,Settings!$A$13:$A$16,0)))+D50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INDEX(Dashboard!$C$12:$C$19,MIN(8,INT((47-1)/60)+1))</f>
        <v/>
      </c>
      <c r="D51" s="29">
        <f>MIN(Dashboard!$C$9,INDEX(Settings!$B$19:$B$58,MIN(40,INT((47-1)/12)+1)))</f>
        <v/>
      </c>
      <c r="E51" s="29">
        <f>E50*(1+INDEX(Settings!$B$13:$B$16,MATCH(C51,Settings!$A$13:$A$16,0)))+D51</f>
        <v/>
      </c>
      <c r="F51" s="29">
        <f>F50*(1+INDEX(Settings!$G$13:$G$16,MATCH(C51,Settings!$A$13:$A$16,0)))+D51</f>
        <v/>
      </c>
      <c r="G51" s="29">
        <f>G50*(1+INDEX(Settings!$H$13:$H$16,MATCH(C51,Settings!$A$13:$A$16,0)))+D51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INDEX(Dashboard!$C$12:$C$19,MIN(8,INT((48-1)/60)+1))</f>
        <v/>
      </c>
      <c r="D52" s="29">
        <f>MIN(Dashboard!$C$9,INDEX(Settings!$B$19:$B$58,MIN(40,INT((48-1)/12)+1)))</f>
        <v/>
      </c>
      <c r="E52" s="29">
        <f>E51*(1+INDEX(Settings!$B$13:$B$16,MATCH(C52,Settings!$A$13:$A$16,0)))+D52</f>
        <v/>
      </c>
      <c r="F52" s="29">
        <f>F51*(1+INDEX(Settings!$G$13:$G$16,MATCH(C52,Settings!$A$13:$A$16,0)))+D52</f>
        <v/>
      </c>
      <c r="G52" s="29">
        <f>G51*(1+INDEX(Settings!$H$13:$H$16,MATCH(C52,Settings!$A$13:$A$16,0)))+D52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INDEX(Dashboard!$C$12:$C$19,MIN(8,INT((49-1)/60)+1))</f>
        <v/>
      </c>
      <c r="D53" s="29">
        <f>MIN(Dashboard!$C$9,INDEX(Settings!$B$19:$B$58,MIN(40,INT((49-1)/12)+1)))</f>
        <v/>
      </c>
      <c r="E53" s="29">
        <f>E52*(1+INDEX(Settings!$B$13:$B$16,MATCH(C53,Settings!$A$13:$A$16,0)))+D53</f>
        <v/>
      </c>
      <c r="F53" s="29">
        <f>F52*(1+INDEX(Settings!$G$13:$G$16,MATCH(C53,Settings!$A$13:$A$16,0)))+D53</f>
        <v/>
      </c>
      <c r="G53" s="29">
        <f>G52*(1+INDEX(Settings!$H$13:$H$16,MATCH(C53,Settings!$A$13:$A$16,0)))+D53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INDEX(Dashboard!$C$12:$C$19,MIN(8,INT((50-1)/60)+1))</f>
        <v/>
      </c>
      <c r="D54" s="29">
        <f>MIN(Dashboard!$C$9,INDEX(Settings!$B$19:$B$58,MIN(40,INT((50-1)/12)+1)))</f>
        <v/>
      </c>
      <c r="E54" s="29">
        <f>E53*(1+INDEX(Settings!$B$13:$B$16,MATCH(C54,Settings!$A$13:$A$16,0)))+D54</f>
        <v/>
      </c>
      <c r="F54" s="29">
        <f>F53*(1+INDEX(Settings!$G$13:$G$16,MATCH(C54,Settings!$A$13:$A$16,0)))+D54</f>
        <v/>
      </c>
      <c r="G54" s="29">
        <f>G53*(1+INDEX(Settings!$H$13:$H$16,MATCH(C54,Settings!$A$13:$A$16,0)))+D54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INDEX(Dashboard!$C$12:$C$19,MIN(8,INT((51-1)/60)+1))</f>
        <v/>
      </c>
      <c r="D55" s="29">
        <f>MIN(Dashboard!$C$9,INDEX(Settings!$B$19:$B$58,MIN(40,INT((51-1)/12)+1)))</f>
        <v/>
      </c>
      <c r="E55" s="29">
        <f>E54*(1+INDEX(Settings!$B$13:$B$16,MATCH(C55,Settings!$A$13:$A$16,0)))+D55</f>
        <v/>
      </c>
      <c r="F55" s="29">
        <f>F54*(1+INDEX(Settings!$G$13:$G$16,MATCH(C55,Settings!$A$13:$A$16,0)))+D55</f>
        <v/>
      </c>
      <c r="G55" s="29">
        <f>G54*(1+INDEX(Settings!$H$13:$H$16,MATCH(C55,Settings!$A$13:$A$16,0)))+D55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INDEX(Dashboard!$C$12:$C$19,MIN(8,INT((52-1)/60)+1))</f>
        <v/>
      </c>
      <c r="D56" s="29">
        <f>MIN(Dashboard!$C$9,INDEX(Settings!$B$19:$B$58,MIN(40,INT((52-1)/12)+1)))</f>
        <v/>
      </c>
      <c r="E56" s="29">
        <f>E55*(1+INDEX(Settings!$B$13:$B$16,MATCH(C56,Settings!$A$13:$A$16,0)))+D56</f>
        <v/>
      </c>
      <c r="F56" s="29">
        <f>F55*(1+INDEX(Settings!$G$13:$G$16,MATCH(C56,Settings!$A$13:$A$16,0)))+D56</f>
        <v/>
      </c>
      <c r="G56" s="29">
        <f>G55*(1+INDEX(Settings!$H$13:$H$16,MATCH(C56,Settings!$A$13:$A$16,0)))+D56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INDEX(Dashboard!$C$12:$C$19,MIN(8,INT((53-1)/60)+1))</f>
        <v/>
      </c>
      <c r="D57" s="29">
        <f>MIN(Dashboard!$C$9,INDEX(Settings!$B$19:$B$58,MIN(40,INT((53-1)/12)+1)))</f>
        <v/>
      </c>
      <c r="E57" s="29">
        <f>E56*(1+INDEX(Settings!$B$13:$B$16,MATCH(C57,Settings!$A$13:$A$16,0)))+D57</f>
        <v/>
      </c>
      <c r="F57" s="29">
        <f>F56*(1+INDEX(Settings!$G$13:$G$16,MATCH(C57,Settings!$A$13:$A$16,0)))+D57</f>
        <v/>
      </c>
      <c r="G57" s="29">
        <f>G56*(1+INDEX(Settings!$H$13:$H$16,MATCH(C57,Settings!$A$13:$A$16,0)))+D57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INDEX(Dashboard!$C$12:$C$19,MIN(8,INT((54-1)/60)+1))</f>
        <v/>
      </c>
      <c r="D58" s="29">
        <f>MIN(Dashboard!$C$9,INDEX(Settings!$B$19:$B$58,MIN(40,INT((54-1)/12)+1)))</f>
        <v/>
      </c>
      <c r="E58" s="29">
        <f>E57*(1+INDEX(Settings!$B$13:$B$16,MATCH(C58,Settings!$A$13:$A$16,0)))+D58</f>
        <v/>
      </c>
      <c r="F58" s="29">
        <f>F57*(1+INDEX(Settings!$G$13:$G$16,MATCH(C58,Settings!$A$13:$A$16,0)))+D58</f>
        <v/>
      </c>
      <c r="G58" s="29">
        <f>G57*(1+INDEX(Settings!$H$13:$H$16,MATCH(C58,Settings!$A$13:$A$16,0)))+D58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INDEX(Dashboard!$C$12:$C$19,MIN(8,INT((55-1)/60)+1))</f>
        <v/>
      </c>
      <c r="D59" s="29">
        <f>MIN(Dashboard!$C$9,INDEX(Settings!$B$19:$B$58,MIN(40,INT((55-1)/12)+1)))</f>
        <v/>
      </c>
      <c r="E59" s="29">
        <f>E58*(1+INDEX(Settings!$B$13:$B$16,MATCH(C59,Settings!$A$13:$A$16,0)))+D59</f>
        <v/>
      </c>
      <c r="F59" s="29">
        <f>F58*(1+INDEX(Settings!$G$13:$G$16,MATCH(C59,Settings!$A$13:$A$16,0)))+D59</f>
        <v/>
      </c>
      <c r="G59" s="29">
        <f>G58*(1+INDEX(Settings!$H$13:$H$16,MATCH(C59,Settings!$A$13:$A$16,0)))+D59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INDEX(Dashboard!$C$12:$C$19,MIN(8,INT((56-1)/60)+1))</f>
        <v/>
      </c>
      <c r="D60" s="29">
        <f>MIN(Dashboard!$C$9,INDEX(Settings!$B$19:$B$58,MIN(40,INT((56-1)/12)+1)))</f>
        <v/>
      </c>
      <c r="E60" s="29">
        <f>E59*(1+INDEX(Settings!$B$13:$B$16,MATCH(C60,Settings!$A$13:$A$16,0)))+D60</f>
        <v/>
      </c>
      <c r="F60" s="29">
        <f>F59*(1+INDEX(Settings!$G$13:$G$16,MATCH(C60,Settings!$A$13:$A$16,0)))+D60</f>
        <v/>
      </c>
      <c r="G60" s="29">
        <f>G59*(1+INDEX(Settings!$H$13:$H$16,MATCH(C60,Settings!$A$13:$A$16,0)))+D60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INDEX(Dashboard!$C$12:$C$19,MIN(8,INT((57-1)/60)+1))</f>
        <v/>
      </c>
      <c r="D61" s="29">
        <f>MIN(Dashboard!$C$9,INDEX(Settings!$B$19:$B$58,MIN(40,INT((57-1)/12)+1)))</f>
        <v/>
      </c>
      <c r="E61" s="29">
        <f>E60*(1+INDEX(Settings!$B$13:$B$16,MATCH(C61,Settings!$A$13:$A$16,0)))+D61</f>
        <v/>
      </c>
      <c r="F61" s="29">
        <f>F60*(1+INDEX(Settings!$G$13:$G$16,MATCH(C61,Settings!$A$13:$A$16,0)))+D61</f>
        <v/>
      </c>
      <c r="G61" s="29">
        <f>G60*(1+INDEX(Settings!$H$13:$H$16,MATCH(C61,Settings!$A$13:$A$16,0)))+D61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INDEX(Dashboard!$C$12:$C$19,MIN(8,INT((58-1)/60)+1))</f>
        <v/>
      </c>
      <c r="D62" s="29">
        <f>MIN(Dashboard!$C$9,INDEX(Settings!$B$19:$B$58,MIN(40,INT((58-1)/12)+1)))</f>
        <v/>
      </c>
      <c r="E62" s="29">
        <f>E61*(1+INDEX(Settings!$B$13:$B$16,MATCH(C62,Settings!$A$13:$A$16,0)))+D62</f>
        <v/>
      </c>
      <c r="F62" s="29">
        <f>F61*(1+INDEX(Settings!$G$13:$G$16,MATCH(C62,Settings!$A$13:$A$16,0)))+D62</f>
        <v/>
      </c>
      <c r="G62" s="29">
        <f>G61*(1+INDEX(Settings!$H$13:$H$16,MATCH(C62,Settings!$A$13:$A$16,0)))+D62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INDEX(Dashboard!$C$12:$C$19,MIN(8,INT((59-1)/60)+1))</f>
        <v/>
      </c>
      <c r="D63" s="29">
        <f>MIN(Dashboard!$C$9,INDEX(Settings!$B$19:$B$58,MIN(40,INT((59-1)/12)+1)))</f>
        <v/>
      </c>
      <c r="E63" s="29">
        <f>E62*(1+INDEX(Settings!$B$13:$B$16,MATCH(C63,Settings!$A$13:$A$16,0)))+D63</f>
        <v/>
      </c>
      <c r="F63" s="29">
        <f>F62*(1+INDEX(Settings!$G$13:$G$16,MATCH(C63,Settings!$A$13:$A$16,0)))+D63</f>
        <v/>
      </c>
      <c r="G63" s="29">
        <f>G62*(1+INDEX(Settings!$H$13:$H$16,MATCH(C63,Settings!$A$13:$A$16,0)))+D63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INDEX(Dashboard!$C$12:$C$19,MIN(8,INT((60-1)/60)+1))</f>
        <v/>
      </c>
      <c r="D64" s="29">
        <f>MIN(Dashboard!$C$9,INDEX(Settings!$B$19:$B$58,MIN(40,INT((60-1)/12)+1)))</f>
        <v/>
      </c>
      <c r="E64" s="29">
        <f>E63*(1+INDEX(Settings!$B$13:$B$16,MATCH(C64,Settings!$A$13:$A$16,0)))+D64</f>
        <v/>
      </c>
      <c r="F64" s="29">
        <f>F63*(1+INDEX(Settings!$G$13:$G$16,MATCH(C64,Settings!$A$13:$A$16,0)))+D64</f>
        <v/>
      </c>
      <c r="G64" s="29">
        <f>G63*(1+INDEX(Settings!$H$13:$H$16,MATCH(C64,Settings!$A$13:$A$16,0)))+D64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INDEX(Dashboard!$C$12:$C$19,MIN(8,INT((61-1)/60)+1))</f>
        <v/>
      </c>
      <c r="D65" s="29">
        <f>MIN(Dashboard!$C$9,INDEX(Settings!$B$19:$B$58,MIN(40,INT((61-1)/12)+1)))</f>
        <v/>
      </c>
      <c r="E65" s="29">
        <f>E64*(1+INDEX(Settings!$B$13:$B$16,MATCH(C65,Settings!$A$13:$A$16,0)))+D65</f>
        <v/>
      </c>
      <c r="F65" s="29">
        <f>F64*(1+INDEX(Settings!$G$13:$G$16,MATCH(C65,Settings!$A$13:$A$16,0)))+D65</f>
        <v/>
      </c>
      <c r="G65" s="29">
        <f>G64*(1+INDEX(Settings!$H$13:$H$16,MATCH(C65,Settings!$A$13:$A$16,0)))+D65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INDEX(Dashboard!$C$12:$C$19,MIN(8,INT((62-1)/60)+1))</f>
        <v/>
      </c>
      <c r="D66" s="29">
        <f>MIN(Dashboard!$C$9,INDEX(Settings!$B$19:$B$58,MIN(40,INT((62-1)/12)+1)))</f>
        <v/>
      </c>
      <c r="E66" s="29">
        <f>E65*(1+INDEX(Settings!$B$13:$B$16,MATCH(C66,Settings!$A$13:$A$16,0)))+D66</f>
        <v/>
      </c>
      <c r="F66" s="29">
        <f>F65*(1+INDEX(Settings!$G$13:$G$16,MATCH(C66,Settings!$A$13:$A$16,0)))+D66</f>
        <v/>
      </c>
      <c r="G66" s="29">
        <f>G65*(1+INDEX(Settings!$H$13:$H$16,MATCH(C66,Settings!$A$13:$A$16,0)))+D66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INDEX(Dashboard!$C$12:$C$19,MIN(8,INT((63-1)/60)+1))</f>
        <v/>
      </c>
      <c r="D67" s="29">
        <f>MIN(Dashboard!$C$9,INDEX(Settings!$B$19:$B$58,MIN(40,INT((63-1)/12)+1)))</f>
        <v/>
      </c>
      <c r="E67" s="29">
        <f>E66*(1+INDEX(Settings!$B$13:$B$16,MATCH(C67,Settings!$A$13:$A$16,0)))+D67</f>
        <v/>
      </c>
      <c r="F67" s="29">
        <f>F66*(1+INDEX(Settings!$G$13:$G$16,MATCH(C67,Settings!$A$13:$A$16,0)))+D67</f>
        <v/>
      </c>
      <c r="G67" s="29">
        <f>G66*(1+INDEX(Settings!$H$13:$H$16,MATCH(C67,Settings!$A$13:$A$16,0)))+D67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INDEX(Dashboard!$C$12:$C$19,MIN(8,INT((64-1)/60)+1))</f>
        <v/>
      </c>
      <c r="D68" s="29">
        <f>MIN(Dashboard!$C$9,INDEX(Settings!$B$19:$B$58,MIN(40,INT((64-1)/12)+1)))</f>
        <v/>
      </c>
      <c r="E68" s="29">
        <f>E67*(1+INDEX(Settings!$B$13:$B$16,MATCH(C68,Settings!$A$13:$A$16,0)))+D68</f>
        <v/>
      </c>
      <c r="F68" s="29">
        <f>F67*(1+INDEX(Settings!$G$13:$G$16,MATCH(C68,Settings!$A$13:$A$16,0)))+D68</f>
        <v/>
      </c>
      <c r="G68" s="29">
        <f>G67*(1+INDEX(Settings!$H$13:$H$16,MATCH(C68,Settings!$A$13:$A$16,0)))+D68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INDEX(Dashboard!$C$12:$C$19,MIN(8,INT((65-1)/60)+1))</f>
        <v/>
      </c>
      <c r="D69" s="29">
        <f>MIN(Dashboard!$C$9,INDEX(Settings!$B$19:$B$58,MIN(40,INT((65-1)/12)+1)))</f>
        <v/>
      </c>
      <c r="E69" s="29">
        <f>E68*(1+INDEX(Settings!$B$13:$B$16,MATCH(C69,Settings!$A$13:$A$16,0)))+D69</f>
        <v/>
      </c>
      <c r="F69" s="29">
        <f>F68*(1+INDEX(Settings!$G$13:$G$16,MATCH(C69,Settings!$A$13:$A$16,0)))+D69</f>
        <v/>
      </c>
      <c r="G69" s="29">
        <f>G68*(1+INDEX(Settings!$H$13:$H$16,MATCH(C69,Settings!$A$13:$A$16,0)))+D69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INDEX(Dashboard!$C$12:$C$19,MIN(8,INT((66-1)/60)+1))</f>
        <v/>
      </c>
      <c r="D70" s="29">
        <f>MIN(Dashboard!$C$9,INDEX(Settings!$B$19:$B$58,MIN(40,INT((66-1)/12)+1)))</f>
        <v/>
      </c>
      <c r="E70" s="29">
        <f>E69*(1+INDEX(Settings!$B$13:$B$16,MATCH(C70,Settings!$A$13:$A$16,0)))+D70</f>
        <v/>
      </c>
      <c r="F70" s="29">
        <f>F69*(1+INDEX(Settings!$G$13:$G$16,MATCH(C70,Settings!$A$13:$A$16,0)))+D70</f>
        <v/>
      </c>
      <c r="G70" s="29">
        <f>G69*(1+INDEX(Settings!$H$13:$H$16,MATCH(C70,Settings!$A$13:$A$16,0)))+D70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INDEX(Dashboard!$C$12:$C$19,MIN(8,INT((67-1)/60)+1))</f>
        <v/>
      </c>
      <c r="D71" s="29">
        <f>MIN(Dashboard!$C$9,INDEX(Settings!$B$19:$B$58,MIN(40,INT((67-1)/12)+1)))</f>
        <v/>
      </c>
      <c r="E71" s="29">
        <f>E70*(1+INDEX(Settings!$B$13:$B$16,MATCH(C71,Settings!$A$13:$A$16,0)))+D71</f>
        <v/>
      </c>
      <c r="F71" s="29">
        <f>F70*(1+INDEX(Settings!$G$13:$G$16,MATCH(C71,Settings!$A$13:$A$16,0)))+D71</f>
        <v/>
      </c>
      <c r="G71" s="29">
        <f>G70*(1+INDEX(Settings!$H$13:$H$16,MATCH(C71,Settings!$A$13:$A$16,0)))+D71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INDEX(Dashboard!$C$12:$C$19,MIN(8,INT((68-1)/60)+1))</f>
        <v/>
      </c>
      <c r="D72" s="29">
        <f>MIN(Dashboard!$C$9,INDEX(Settings!$B$19:$B$58,MIN(40,INT((68-1)/12)+1)))</f>
        <v/>
      </c>
      <c r="E72" s="29">
        <f>E71*(1+INDEX(Settings!$B$13:$B$16,MATCH(C72,Settings!$A$13:$A$16,0)))+D72</f>
        <v/>
      </c>
      <c r="F72" s="29">
        <f>F71*(1+INDEX(Settings!$G$13:$G$16,MATCH(C72,Settings!$A$13:$A$16,0)))+D72</f>
        <v/>
      </c>
      <c r="G72" s="29">
        <f>G71*(1+INDEX(Settings!$H$13:$H$16,MATCH(C72,Settings!$A$13:$A$16,0)))+D72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INDEX(Dashboard!$C$12:$C$19,MIN(8,INT((69-1)/60)+1))</f>
        <v/>
      </c>
      <c r="D73" s="29">
        <f>MIN(Dashboard!$C$9,INDEX(Settings!$B$19:$B$58,MIN(40,INT((69-1)/12)+1)))</f>
        <v/>
      </c>
      <c r="E73" s="29">
        <f>E72*(1+INDEX(Settings!$B$13:$B$16,MATCH(C73,Settings!$A$13:$A$16,0)))+D73</f>
        <v/>
      </c>
      <c r="F73" s="29">
        <f>F72*(1+INDEX(Settings!$G$13:$G$16,MATCH(C73,Settings!$A$13:$A$16,0)))+D73</f>
        <v/>
      </c>
      <c r="G73" s="29">
        <f>G72*(1+INDEX(Settings!$H$13:$H$16,MATCH(C73,Settings!$A$13:$A$16,0)))+D73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INDEX(Dashboard!$C$12:$C$19,MIN(8,INT((70-1)/60)+1))</f>
        <v/>
      </c>
      <c r="D74" s="29">
        <f>MIN(Dashboard!$C$9,INDEX(Settings!$B$19:$B$58,MIN(40,INT((70-1)/12)+1)))</f>
        <v/>
      </c>
      <c r="E74" s="29">
        <f>E73*(1+INDEX(Settings!$B$13:$B$16,MATCH(C74,Settings!$A$13:$A$16,0)))+D74</f>
        <v/>
      </c>
      <c r="F74" s="29">
        <f>F73*(1+INDEX(Settings!$G$13:$G$16,MATCH(C74,Settings!$A$13:$A$16,0)))+D74</f>
        <v/>
      </c>
      <c r="G74" s="29">
        <f>G73*(1+INDEX(Settings!$H$13:$H$16,MATCH(C74,Settings!$A$13:$A$16,0)))+D74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INDEX(Dashboard!$C$12:$C$19,MIN(8,INT((71-1)/60)+1))</f>
        <v/>
      </c>
      <c r="D75" s="29">
        <f>MIN(Dashboard!$C$9,INDEX(Settings!$B$19:$B$58,MIN(40,INT((71-1)/12)+1)))</f>
        <v/>
      </c>
      <c r="E75" s="29">
        <f>E74*(1+INDEX(Settings!$B$13:$B$16,MATCH(C75,Settings!$A$13:$A$16,0)))+D75</f>
        <v/>
      </c>
      <c r="F75" s="29">
        <f>F74*(1+INDEX(Settings!$G$13:$G$16,MATCH(C75,Settings!$A$13:$A$16,0)))+D75</f>
        <v/>
      </c>
      <c r="G75" s="29">
        <f>G74*(1+INDEX(Settings!$H$13:$H$16,MATCH(C75,Settings!$A$13:$A$16,0)))+D75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INDEX(Dashboard!$C$12:$C$19,MIN(8,INT((72-1)/60)+1))</f>
        <v/>
      </c>
      <c r="D76" s="29">
        <f>MIN(Dashboard!$C$9,INDEX(Settings!$B$19:$B$58,MIN(40,INT((72-1)/12)+1)))</f>
        <v/>
      </c>
      <c r="E76" s="29">
        <f>E75*(1+INDEX(Settings!$B$13:$B$16,MATCH(C76,Settings!$A$13:$A$16,0)))+D76</f>
        <v/>
      </c>
      <c r="F76" s="29">
        <f>F75*(1+INDEX(Settings!$G$13:$G$16,MATCH(C76,Settings!$A$13:$A$16,0)))+D76</f>
        <v/>
      </c>
      <c r="G76" s="29">
        <f>G75*(1+INDEX(Settings!$H$13:$H$16,MATCH(C76,Settings!$A$13:$A$16,0)))+D76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INDEX(Dashboard!$C$12:$C$19,MIN(8,INT((73-1)/60)+1))</f>
        <v/>
      </c>
      <c r="D77" s="29">
        <f>MIN(Dashboard!$C$9,INDEX(Settings!$B$19:$B$58,MIN(40,INT((73-1)/12)+1)))</f>
        <v/>
      </c>
      <c r="E77" s="29">
        <f>E76*(1+INDEX(Settings!$B$13:$B$16,MATCH(C77,Settings!$A$13:$A$16,0)))+D77</f>
        <v/>
      </c>
      <c r="F77" s="29">
        <f>F76*(1+INDEX(Settings!$G$13:$G$16,MATCH(C77,Settings!$A$13:$A$16,0)))+D77</f>
        <v/>
      </c>
      <c r="G77" s="29">
        <f>G76*(1+INDEX(Settings!$H$13:$H$16,MATCH(C77,Settings!$A$13:$A$16,0)))+D77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INDEX(Dashboard!$C$12:$C$19,MIN(8,INT((74-1)/60)+1))</f>
        <v/>
      </c>
      <c r="D78" s="29">
        <f>MIN(Dashboard!$C$9,INDEX(Settings!$B$19:$B$58,MIN(40,INT((74-1)/12)+1)))</f>
        <v/>
      </c>
      <c r="E78" s="29">
        <f>E77*(1+INDEX(Settings!$B$13:$B$16,MATCH(C78,Settings!$A$13:$A$16,0)))+D78</f>
        <v/>
      </c>
      <c r="F78" s="29">
        <f>F77*(1+INDEX(Settings!$G$13:$G$16,MATCH(C78,Settings!$A$13:$A$16,0)))+D78</f>
        <v/>
      </c>
      <c r="G78" s="29">
        <f>G77*(1+INDEX(Settings!$H$13:$H$16,MATCH(C78,Settings!$A$13:$A$16,0)))+D78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INDEX(Dashboard!$C$12:$C$19,MIN(8,INT((75-1)/60)+1))</f>
        <v/>
      </c>
      <c r="D79" s="29">
        <f>MIN(Dashboard!$C$9,INDEX(Settings!$B$19:$B$58,MIN(40,INT((75-1)/12)+1)))</f>
        <v/>
      </c>
      <c r="E79" s="29">
        <f>E78*(1+INDEX(Settings!$B$13:$B$16,MATCH(C79,Settings!$A$13:$A$16,0)))+D79</f>
        <v/>
      </c>
      <c r="F79" s="29">
        <f>F78*(1+INDEX(Settings!$G$13:$G$16,MATCH(C79,Settings!$A$13:$A$16,0)))+D79</f>
        <v/>
      </c>
      <c r="G79" s="29">
        <f>G78*(1+INDEX(Settings!$H$13:$H$16,MATCH(C79,Settings!$A$13:$A$16,0)))+D79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INDEX(Dashboard!$C$12:$C$19,MIN(8,INT((76-1)/60)+1))</f>
        <v/>
      </c>
      <c r="D80" s="29">
        <f>MIN(Dashboard!$C$9,INDEX(Settings!$B$19:$B$58,MIN(40,INT((76-1)/12)+1)))</f>
        <v/>
      </c>
      <c r="E80" s="29">
        <f>E79*(1+INDEX(Settings!$B$13:$B$16,MATCH(C80,Settings!$A$13:$A$16,0)))+D80</f>
        <v/>
      </c>
      <c r="F80" s="29">
        <f>F79*(1+INDEX(Settings!$G$13:$G$16,MATCH(C80,Settings!$A$13:$A$16,0)))+D80</f>
        <v/>
      </c>
      <c r="G80" s="29">
        <f>G79*(1+INDEX(Settings!$H$13:$H$16,MATCH(C80,Settings!$A$13:$A$16,0)))+D80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INDEX(Dashboard!$C$12:$C$19,MIN(8,INT((77-1)/60)+1))</f>
        <v/>
      </c>
      <c r="D81" s="29">
        <f>MIN(Dashboard!$C$9,INDEX(Settings!$B$19:$B$58,MIN(40,INT((77-1)/12)+1)))</f>
        <v/>
      </c>
      <c r="E81" s="29">
        <f>E80*(1+INDEX(Settings!$B$13:$B$16,MATCH(C81,Settings!$A$13:$A$16,0)))+D81</f>
        <v/>
      </c>
      <c r="F81" s="29">
        <f>F80*(1+INDEX(Settings!$G$13:$G$16,MATCH(C81,Settings!$A$13:$A$16,0)))+D81</f>
        <v/>
      </c>
      <c r="G81" s="29">
        <f>G80*(1+INDEX(Settings!$H$13:$H$16,MATCH(C81,Settings!$A$13:$A$16,0)))+D81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INDEX(Dashboard!$C$12:$C$19,MIN(8,INT((78-1)/60)+1))</f>
        <v/>
      </c>
      <c r="D82" s="29">
        <f>MIN(Dashboard!$C$9,INDEX(Settings!$B$19:$B$58,MIN(40,INT((78-1)/12)+1)))</f>
        <v/>
      </c>
      <c r="E82" s="29">
        <f>E81*(1+INDEX(Settings!$B$13:$B$16,MATCH(C82,Settings!$A$13:$A$16,0)))+D82</f>
        <v/>
      </c>
      <c r="F82" s="29">
        <f>F81*(1+INDEX(Settings!$G$13:$G$16,MATCH(C82,Settings!$A$13:$A$16,0)))+D82</f>
        <v/>
      </c>
      <c r="G82" s="29">
        <f>G81*(1+INDEX(Settings!$H$13:$H$16,MATCH(C82,Settings!$A$13:$A$16,0)))+D82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INDEX(Dashboard!$C$12:$C$19,MIN(8,INT((79-1)/60)+1))</f>
        <v/>
      </c>
      <c r="D83" s="29">
        <f>MIN(Dashboard!$C$9,INDEX(Settings!$B$19:$B$58,MIN(40,INT((79-1)/12)+1)))</f>
        <v/>
      </c>
      <c r="E83" s="29">
        <f>E82*(1+INDEX(Settings!$B$13:$B$16,MATCH(C83,Settings!$A$13:$A$16,0)))+D83</f>
        <v/>
      </c>
      <c r="F83" s="29">
        <f>F82*(1+INDEX(Settings!$G$13:$G$16,MATCH(C83,Settings!$A$13:$A$16,0)))+D83</f>
        <v/>
      </c>
      <c r="G83" s="29">
        <f>G82*(1+INDEX(Settings!$H$13:$H$16,MATCH(C83,Settings!$A$13:$A$16,0)))+D83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INDEX(Dashboard!$C$12:$C$19,MIN(8,INT((80-1)/60)+1))</f>
        <v/>
      </c>
      <c r="D84" s="29">
        <f>MIN(Dashboard!$C$9,INDEX(Settings!$B$19:$B$58,MIN(40,INT((80-1)/12)+1)))</f>
        <v/>
      </c>
      <c r="E84" s="29">
        <f>E83*(1+INDEX(Settings!$B$13:$B$16,MATCH(C84,Settings!$A$13:$A$16,0)))+D84</f>
        <v/>
      </c>
      <c r="F84" s="29">
        <f>F83*(1+INDEX(Settings!$G$13:$G$16,MATCH(C84,Settings!$A$13:$A$16,0)))+D84</f>
        <v/>
      </c>
      <c r="G84" s="29">
        <f>G83*(1+INDEX(Settings!$H$13:$H$16,MATCH(C84,Settings!$A$13:$A$16,0)))+D84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INDEX(Dashboard!$C$12:$C$19,MIN(8,INT((81-1)/60)+1))</f>
        <v/>
      </c>
      <c r="D85" s="29">
        <f>MIN(Dashboard!$C$9,INDEX(Settings!$B$19:$B$58,MIN(40,INT((81-1)/12)+1)))</f>
        <v/>
      </c>
      <c r="E85" s="29">
        <f>E84*(1+INDEX(Settings!$B$13:$B$16,MATCH(C85,Settings!$A$13:$A$16,0)))+D85</f>
        <v/>
      </c>
      <c r="F85" s="29">
        <f>F84*(1+INDEX(Settings!$G$13:$G$16,MATCH(C85,Settings!$A$13:$A$16,0)))+D85</f>
        <v/>
      </c>
      <c r="G85" s="29">
        <f>G84*(1+INDEX(Settings!$H$13:$H$16,MATCH(C85,Settings!$A$13:$A$16,0)))+D85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INDEX(Dashboard!$C$12:$C$19,MIN(8,INT((82-1)/60)+1))</f>
        <v/>
      </c>
      <c r="D86" s="29">
        <f>MIN(Dashboard!$C$9,INDEX(Settings!$B$19:$B$58,MIN(40,INT((82-1)/12)+1)))</f>
        <v/>
      </c>
      <c r="E86" s="29">
        <f>E85*(1+INDEX(Settings!$B$13:$B$16,MATCH(C86,Settings!$A$13:$A$16,0)))+D86</f>
        <v/>
      </c>
      <c r="F86" s="29">
        <f>F85*(1+INDEX(Settings!$G$13:$G$16,MATCH(C86,Settings!$A$13:$A$16,0)))+D86</f>
        <v/>
      </c>
      <c r="G86" s="29">
        <f>G85*(1+INDEX(Settings!$H$13:$H$16,MATCH(C86,Settings!$A$13:$A$16,0)))+D86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INDEX(Dashboard!$C$12:$C$19,MIN(8,INT((83-1)/60)+1))</f>
        <v/>
      </c>
      <c r="D87" s="29">
        <f>MIN(Dashboard!$C$9,INDEX(Settings!$B$19:$B$58,MIN(40,INT((83-1)/12)+1)))</f>
        <v/>
      </c>
      <c r="E87" s="29">
        <f>E86*(1+INDEX(Settings!$B$13:$B$16,MATCH(C87,Settings!$A$13:$A$16,0)))+D87</f>
        <v/>
      </c>
      <c r="F87" s="29">
        <f>F86*(1+INDEX(Settings!$G$13:$G$16,MATCH(C87,Settings!$A$13:$A$16,0)))+D87</f>
        <v/>
      </c>
      <c r="G87" s="29">
        <f>G86*(1+INDEX(Settings!$H$13:$H$16,MATCH(C87,Settings!$A$13:$A$16,0)))+D87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INDEX(Dashboard!$C$12:$C$19,MIN(8,INT((84-1)/60)+1))</f>
        <v/>
      </c>
      <c r="D88" s="29">
        <f>MIN(Dashboard!$C$9,INDEX(Settings!$B$19:$B$58,MIN(40,INT((84-1)/12)+1)))</f>
        <v/>
      </c>
      <c r="E88" s="29">
        <f>E87*(1+INDEX(Settings!$B$13:$B$16,MATCH(C88,Settings!$A$13:$A$16,0)))+D88</f>
        <v/>
      </c>
      <c r="F88" s="29">
        <f>F87*(1+INDEX(Settings!$G$13:$G$16,MATCH(C88,Settings!$A$13:$A$16,0)))+D88</f>
        <v/>
      </c>
      <c r="G88" s="29">
        <f>G87*(1+INDEX(Settings!$H$13:$H$16,MATCH(C88,Settings!$A$13:$A$16,0)))+D88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INDEX(Dashboard!$C$12:$C$19,MIN(8,INT((85-1)/60)+1))</f>
        <v/>
      </c>
      <c r="D89" s="29">
        <f>MIN(Dashboard!$C$9,INDEX(Settings!$B$19:$B$58,MIN(40,INT((85-1)/12)+1)))</f>
        <v/>
      </c>
      <c r="E89" s="29">
        <f>E88*(1+INDEX(Settings!$B$13:$B$16,MATCH(C89,Settings!$A$13:$A$16,0)))+D89</f>
        <v/>
      </c>
      <c r="F89" s="29">
        <f>F88*(1+INDEX(Settings!$G$13:$G$16,MATCH(C89,Settings!$A$13:$A$16,0)))+D89</f>
        <v/>
      </c>
      <c r="G89" s="29">
        <f>G88*(1+INDEX(Settings!$H$13:$H$16,MATCH(C89,Settings!$A$13:$A$16,0)))+D89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INDEX(Dashboard!$C$12:$C$19,MIN(8,INT((86-1)/60)+1))</f>
        <v/>
      </c>
      <c r="D90" s="29">
        <f>MIN(Dashboard!$C$9,INDEX(Settings!$B$19:$B$58,MIN(40,INT((86-1)/12)+1)))</f>
        <v/>
      </c>
      <c r="E90" s="29">
        <f>E89*(1+INDEX(Settings!$B$13:$B$16,MATCH(C90,Settings!$A$13:$A$16,0)))+D90</f>
        <v/>
      </c>
      <c r="F90" s="29">
        <f>F89*(1+INDEX(Settings!$G$13:$G$16,MATCH(C90,Settings!$A$13:$A$16,0)))+D90</f>
        <v/>
      </c>
      <c r="G90" s="29">
        <f>G89*(1+INDEX(Settings!$H$13:$H$16,MATCH(C90,Settings!$A$13:$A$16,0)))+D90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INDEX(Dashboard!$C$12:$C$19,MIN(8,INT((87-1)/60)+1))</f>
        <v/>
      </c>
      <c r="D91" s="29">
        <f>MIN(Dashboard!$C$9,INDEX(Settings!$B$19:$B$58,MIN(40,INT((87-1)/12)+1)))</f>
        <v/>
      </c>
      <c r="E91" s="29">
        <f>E90*(1+INDEX(Settings!$B$13:$B$16,MATCH(C91,Settings!$A$13:$A$16,0)))+D91</f>
        <v/>
      </c>
      <c r="F91" s="29">
        <f>F90*(1+INDEX(Settings!$G$13:$G$16,MATCH(C91,Settings!$A$13:$A$16,0)))+D91</f>
        <v/>
      </c>
      <c r="G91" s="29">
        <f>G90*(1+INDEX(Settings!$H$13:$H$16,MATCH(C91,Settings!$A$13:$A$16,0)))+D91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INDEX(Dashboard!$C$12:$C$19,MIN(8,INT((88-1)/60)+1))</f>
        <v/>
      </c>
      <c r="D92" s="29">
        <f>MIN(Dashboard!$C$9,INDEX(Settings!$B$19:$B$58,MIN(40,INT((88-1)/12)+1)))</f>
        <v/>
      </c>
      <c r="E92" s="29">
        <f>E91*(1+INDEX(Settings!$B$13:$B$16,MATCH(C92,Settings!$A$13:$A$16,0)))+D92</f>
        <v/>
      </c>
      <c r="F92" s="29">
        <f>F91*(1+INDEX(Settings!$G$13:$G$16,MATCH(C92,Settings!$A$13:$A$16,0)))+D92</f>
        <v/>
      </c>
      <c r="G92" s="29">
        <f>G91*(1+INDEX(Settings!$H$13:$H$16,MATCH(C92,Settings!$A$13:$A$16,0)))+D92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INDEX(Dashboard!$C$12:$C$19,MIN(8,INT((89-1)/60)+1))</f>
        <v/>
      </c>
      <c r="D93" s="29">
        <f>MIN(Dashboard!$C$9,INDEX(Settings!$B$19:$B$58,MIN(40,INT((89-1)/12)+1)))</f>
        <v/>
      </c>
      <c r="E93" s="29">
        <f>E92*(1+INDEX(Settings!$B$13:$B$16,MATCH(C93,Settings!$A$13:$A$16,0)))+D93</f>
        <v/>
      </c>
      <c r="F93" s="29">
        <f>F92*(1+INDEX(Settings!$G$13:$G$16,MATCH(C93,Settings!$A$13:$A$16,0)))+D93</f>
        <v/>
      </c>
      <c r="G93" s="29">
        <f>G92*(1+INDEX(Settings!$H$13:$H$16,MATCH(C93,Settings!$A$13:$A$16,0)))+D93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INDEX(Dashboard!$C$12:$C$19,MIN(8,INT((90-1)/60)+1))</f>
        <v/>
      </c>
      <c r="D94" s="29">
        <f>MIN(Dashboard!$C$9,INDEX(Settings!$B$19:$B$58,MIN(40,INT((90-1)/12)+1)))</f>
        <v/>
      </c>
      <c r="E94" s="29">
        <f>E93*(1+INDEX(Settings!$B$13:$B$16,MATCH(C94,Settings!$A$13:$A$16,0)))+D94</f>
        <v/>
      </c>
      <c r="F94" s="29">
        <f>F93*(1+INDEX(Settings!$G$13:$G$16,MATCH(C94,Settings!$A$13:$A$16,0)))+D94</f>
        <v/>
      </c>
      <c r="G94" s="29">
        <f>G93*(1+INDEX(Settings!$H$13:$H$16,MATCH(C94,Settings!$A$13:$A$16,0)))+D94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INDEX(Dashboard!$C$12:$C$19,MIN(8,INT((91-1)/60)+1))</f>
        <v/>
      </c>
      <c r="D95" s="29">
        <f>MIN(Dashboard!$C$9,INDEX(Settings!$B$19:$B$58,MIN(40,INT((91-1)/12)+1)))</f>
        <v/>
      </c>
      <c r="E95" s="29">
        <f>E94*(1+INDEX(Settings!$B$13:$B$16,MATCH(C95,Settings!$A$13:$A$16,0)))+D95</f>
        <v/>
      </c>
      <c r="F95" s="29">
        <f>F94*(1+INDEX(Settings!$G$13:$G$16,MATCH(C95,Settings!$A$13:$A$16,0)))+D95</f>
        <v/>
      </c>
      <c r="G95" s="29">
        <f>G94*(1+INDEX(Settings!$H$13:$H$16,MATCH(C95,Settings!$A$13:$A$16,0)))+D95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INDEX(Dashboard!$C$12:$C$19,MIN(8,INT((92-1)/60)+1))</f>
        <v/>
      </c>
      <c r="D96" s="29">
        <f>MIN(Dashboard!$C$9,INDEX(Settings!$B$19:$B$58,MIN(40,INT((92-1)/12)+1)))</f>
        <v/>
      </c>
      <c r="E96" s="29">
        <f>E95*(1+INDEX(Settings!$B$13:$B$16,MATCH(C96,Settings!$A$13:$A$16,0)))+D96</f>
        <v/>
      </c>
      <c r="F96" s="29">
        <f>F95*(1+INDEX(Settings!$G$13:$G$16,MATCH(C96,Settings!$A$13:$A$16,0)))+D96</f>
        <v/>
      </c>
      <c r="G96" s="29">
        <f>G95*(1+INDEX(Settings!$H$13:$H$16,MATCH(C96,Settings!$A$13:$A$16,0)))+D96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INDEX(Dashboard!$C$12:$C$19,MIN(8,INT((93-1)/60)+1))</f>
        <v/>
      </c>
      <c r="D97" s="29">
        <f>MIN(Dashboard!$C$9,INDEX(Settings!$B$19:$B$58,MIN(40,INT((93-1)/12)+1)))</f>
        <v/>
      </c>
      <c r="E97" s="29">
        <f>E96*(1+INDEX(Settings!$B$13:$B$16,MATCH(C97,Settings!$A$13:$A$16,0)))+D97</f>
        <v/>
      </c>
      <c r="F97" s="29">
        <f>F96*(1+INDEX(Settings!$G$13:$G$16,MATCH(C97,Settings!$A$13:$A$16,0)))+D97</f>
        <v/>
      </c>
      <c r="G97" s="29">
        <f>G96*(1+INDEX(Settings!$H$13:$H$16,MATCH(C97,Settings!$A$13:$A$16,0)))+D97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INDEX(Dashboard!$C$12:$C$19,MIN(8,INT((94-1)/60)+1))</f>
        <v/>
      </c>
      <c r="D98" s="29">
        <f>MIN(Dashboard!$C$9,INDEX(Settings!$B$19:$B$58,MIN(40,INT((94-1)/12)+1)))</f>
        <v/>
      </c>
      <c r="E98" s="29">
        <f>E97*(1+INDEX(Settings!$B$13:$B$16,MATCH(C98,Settings!$A$13:$A$16,0)))+D98</f>
        <v/>
      </c>
      <c r="F98" s="29">
        <f>F97*(1+INDEX(Settings!$G$13:$G$16,MATCH(C98,Settings!$A$13:$A$16,0)))+D98</f>
        <v/>
      </c>
      <c r="G98" s="29">
        <f>G97*(1+INDEX(Settings!$H$13:$H$16,MATCH(C98,Settings!$A$13:$A$16,0)))+D98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INDEX(Dashboard!$C$12:$C$19,MIN(8,INT((95-1)/60)+1))</f>
        <v/>
      </c>
      <c r="D99" s="29">
        <f>MIN(Dashboard!$C$9,INDEX(Settings!$B$19:$B$58,MIN(40,INT((95-1)/12)+1)))</f>
        <v/>
      </c>
      <c r="E99" s="29">
        <f>E98*(1+INDEX(Settings!$B$13:$B$16,MATCH(C99,Settings!$A$13:$A$16,0)))+D99</f>
        <v/>
      </c>
      <c r="F99" s="29">
        <f>F98*(1+INDEX(Settings!$G$13:$G$16,MATCH(C99,Settings!$A$13:$A$16,0)))+D99</f>
        <v/>
      </c>
      <c r="G99" s="29">
        <f>G98*(1+INDEX(Settings!$H$13:$H$16,MATCH(C99,Settings!$A$13:$A$16,0)))+D99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INDEX(Dashboard!$C$12:$C$19,MIN(8,INT((96-1)/60)+1))</f>
        <v/>
      </c>
      <c r="D100" s="29">
        <f>MIN(Dashboard!$C$9,INDEX(Settings!$B$19:$B$58,MIN(40,INT((96-1)/12)+1)))</f>
        <v/>
      </c>
      <c r="E100" s="29">
        <f>E99*(1+INDEX(Settings!$B$13:$B$16,MATCH(C100,Settings!$A$13:$A$16,0)))+D100</f>
        <v/>
      </c>
      <c r="F100" s="29">
        <f>F99*(1+INDEX(Settings!$G$13:$G$16,MATCH(C100,Settings!$A$13:$A$16,0)))+D100</f>
        <v/>
      </c>
      <c r="G100" s="29">
        <f>G99*(1+INDEX(Settings!$H$13:$H$16,MATCH(C100,Settings!$A$13:$A$16,0)))+D100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INDEX(Dashboard!$C$12:$C$19,MIN(8,INT((97-1)/60)+1))</f>
        <v/>
      </c>
      <c r="D101" s="29">
        <f>MIN(Dashboard!$C$9,INDEX(Settings!$B$19:$B$58,MIN(40,INT((97-1)/12)+1)))</f>
        <v/>
      </c>
      <c r="E101" s="29">
        <f>E100*(1+INDEX(Settings!$B$13:$B$16,MATCH(C101,Settings!$A$13:$A$16,0)))+D101</f>
        <v/>
      </c>
      <c r="F101" s="29">
        <f>F100*(1+INDEX(Settings!$G$13:$G$16,MATCH(C101,Settings!$A$13:$A$16,0)))+D101</f>
        <v/>
      </c>
      <c r="G101" s="29">
        <f>G100*(1+INDEX(Settings!$H$13:$H$16,MATCH(C101,Settings!$A$13:$A$16,0)))+D101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INDEX(Dashboard!$C$12:$C$19,MIN(8,INT((98-1)/60)+1))</f>
        <v/>
      </c>
      <c r="D102" s="29">
        <f>MIN(Dashboard!$C$9,INDEX(Settings!$B$19:$B$58,MIN(40,INT((98-1)/12)+1)))</f>
        <v/>
      </c>
      <c r="E102" s="29">
        <f>E101*(1+INDEX(Settings!$B$13:$B$16,MATCH(C102,Settings!$A$13:$A$16,0)))+D102</f>
        <v/>
      </c>
      <c r="F102" s="29">
        <f>F101*(1+INDEX(Settings!$G$13:$G$16,MATCH(C102,Settings!$A$13:$A$16,0)))+D102</f>
        <v/>
      </c>
      <c r="G102" s="29">
        <f>G101*(1+INDEX(Settings!$H$13:$H$16,MATCH(C102,Settings!$A$13:$A$16,0)))+D102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INDEX(Dashboard!$C$12:$C$19,MIN(8,INT((99-1)/60)+1))</f>
        <v/>
      </c>
      <c r="D103" s="29">
        <f>MIN(Dashboard!$C$9,INDEX(Settings!$B$19:$B$58,MIN(40,INT((99-1)/12)+1)))</f>
        <v/>
      </c>
      <c r="E103" s="29">
        <f>E102*(1+INDEX(Settings!$B$13:$B$16,MATCH(C103,Settings!$A$13:$A$16,0)))+D103</f>
        <v/>
      </c>
      <c r="F103" s="29">
        <f>F102*(1+INDEX(Settings!$G$13:$G$16,MATCH(C103,Settings!$A$13:$A$16,0)))+D103</f>
        <v/>
      </c>
      <c r="G103" s="29">
        <f>G102*(1+INDEX(Settings!$H$13:$H$16,MATCH(C103,Settings!$A$13:$A$16,0)))+D103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INDEX(Dashboard!$C$12:$C$19,MIN(8,INT((100-1)/60)+1))</f>
        <v/>
      </c>
      <c r="D104" s="29">
        <f>MIN(Dashboard!$C$9,INDEX(Settings!$B$19:$B$58,MIN(40,INT((100-1)/12)+1)))</f>
        <v/>
      </c>
      <c r="E104" s="29">
        <f>E103*(1+INDEX(Settings!$B$13:$B$16,MATCH(C104,Settings!$A$13:$A$16,0)))+D104</f>
        <v/>
      </c>
      <c r="F104" s="29">
        <f>F103*(1+INDEX(Settings!$G$13:$G$16,MATCH(C104,Settings!$A$13:$A$16,0)))+D104</f>
        <v/>
      </c>
      <c r="G104" s="29">
        <f>G103*(1+INDEX(Settings!$H$13:$H$16,MATCH(C104,Settings!$A$13:$A$16,0)))+D104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INDEX(Dashboard!$C$12:$C$19,MIN(8,INT((101-1)/60)+1))</f>
        <v/>
      </c>
      <c r="D105" s="29">
        <f>MIN(Dashboard!$C$9,INDEX(Settings!$B$19:$B$58,MIN(40,INT((101-1)/12)+1)))</f>
        <v/>
      </c>
      <c r="E105" s="29">
        <f>E104*(1+INDEX(Settings!$B$13:$B$16,MATCH(C105,Settings!$A$13:$A$16,0)))+D105</f>
        <v/>
      </c>
      <c r="F105" s="29">
        <f>F104*(1+INDEX(Settings!$G$13:$G$16,MATCH(C105,Settings!$A$13:$A$16,0)))+D105</f>
        <v/>
      </c>
      <c r="G105" s="29">
        <f>G104*(1+INDEX(Settings!$H$13:$H$16,MATCH(C105,Settings!$A$13:$A$16,0)))+D105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INDEX(Dashboard!$C$12:$C$19,MIN(8,INT((102-1)/60)+1))</f>
        <v/>
      </c>
      <c r="D106" s="29">
        <f>MIN(Dashboard!$C$9,INDEX(Settings!$B$19:$B$58,MIN(40,INT((102-1)/12)+1)))</f>
        <v/>
      </c>
      <c r="E106" s="29">
        <f>E105*(1+INDEX(Settings!$B$13:$B$16,MATCH(C106,Settings!$A$13:$A$16,0)))+D106</f>
        <v/>
      </c>
      <c r="F106" s="29">
        <f>F105*(1+INDEX(Settings!$G$13:$G$16,MATCH(C106,Settings!$A$13:$A$16,0)))+D106</f>
        <v/>
      </c>
      <c r="G106" s="29">
        <f>G105*(1+INDEX(Settings!$H$13:$H$16,MATCH(C106,Settings!$A$13:$A$16,0)))+D106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INDEX(Dashboard!$C$12:$C$19,MIN(8,INT((103-1)/60)+1))</f>
        <v/>
      </c>
      <c r="D107" s="29">
        <f>MIN(Dashboard!$C$9,INDEX(Settings!$B$19:$B$58,MIN(40,INT((103-1)/12)+1)))</f>
        <v/>
      </c>
      <c r="E107" s="29">
        <f>E106*(1+INDEX(Settings!$B$13:$B$16,MATCH(C107,Settings!$A$13:$A$16,0)))+D107</f>
        <v/>
      </c>
      <c r="F107" s="29">
        <f>F106*(1+INDEX(Settings!$G$13:$G$16,MATCH(C107,Settings!$A$13:$A$16,0)))+D107</f>
        <v/>
      </c>
      <c r="G107" s="29">
        <f>G106*(1+INDEX(Settings!$H$13:$H$16,MATCH(C107,Settings!$A$13:$A$16,0)))+D107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INDEX(Dashboard!$C$12:$C$19,MIN(8,INT((104-1)/60)+1))</f>
        <v/>
      </c>
      <c r="D108" s="29">
        <f>MIN(Dashboard!$C$9,INDEX(Settings!$B$19:$B$58,MIN(40,INT((104-1)/12)+1)))</f>
        <v/>
      </c>
      <c r="E108" s="29">
        <f>E107*(1+INDEX(Settings!$B$13:$B$16,MATCH(C108,Settings!$A$13:$A$16,0)))+D108</f>
        <v/>
      </c>
      <c r="F108" s="29">
        <f>F107*(1+INDEX(Settings!$G$13:$G$16,MATCH(C108,Settings!$A$13:$A$16,0)))+D108</f>
        <v/>
      </c>
      <c r="G108" s="29">
        <f>G107*(1+INDEX(Settings!$H$13:$H$16,MATCH(C108,Settings!$A$13:$A$16,0)))+D108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INDEX(Dashboard!$C$12:$C$19,MIN(8,INT((105-1)/60)+1))</f>
        <v/>
      </c>
      <c r="D109" s="29">
        <f>MIN(Dashboard!$C$9,INDEX(Settings!$B$19:$B$58,MIN(40,INT((105-1)/12)+1)))</f>
        <v/>
      </c>
      <c r="E109" s="29">
        <f>E108*(1+INDEX(Settings!$B$13:$B$16,MATCH(C109,Settings!$A$13:$A$16,0)))+D109</f>
        <v/>
      </c>
      <c r="F109" s="29">
        <f>F108*(1+INDEX(Settings!$G$13:$G$16,MATCH(C109,Settings!$A$13:$A$16,0)))+D109</f>
        <v/>
      </c>
      <c r="G109" s="29">
        <f>G108*(1+INDEX(Settings!$H$13:$H$16,MATCH(C109,Settings!$A$13:$A$16,0)))+D109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INDEX(Dashboard!$C$12:$C$19,MIN(8,INT((106-1)/60)+1))</f>
        <v/>
      </c>
      <c r="D110" s="29">
        <f>MIN(Dashboard!$C$9,INDEX(Settings!$B$19:$B$58,MIN(40,INT((106-1)/12)+1)))</f>
        <v/>
      </c>
      <c r="E110" s="29">
        <f>E109*(1+INDEX(Settings!$B$13:$B$16,MATCH(C110,Settings!$A$13:$A$16,0)))+D110</f>
        <v/>
      </c>
      <c r="F110" s="29">
        <f>F109*(1+INDEX(Settings!$G$13:$G$16,MATCH(C110,Settings!$A$13:$A$16,0)))+D110</f>
        <v/>
      </c>
      <c r="G110" s="29">
        <f>G109*(1+INDEX(Settings!$H$13:$H$16,MATCH(C110,Settings!$A$13:$A$16,0)))+D110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INDEX(Dashboard!$C$12:$C$19,MIN(8,INT((107-1)/60)+1))</f>
        <v/>
      </c>
      <c r="D111" s="29">
        <f>MIN(Dashboard!$C$9,INDEX(Settings!$B$19:$B$58,MIN(40,INT((107-1)/12)+1)))</f>
        <v/>
      </c>
      <c r="E111" s="29">
        <f>E110*(1+INDEX(Settings!$B$13:$B$16,MATCH(C111,Settings!$A$13:$A$16,0)))+D111</f>
        <v/>
      </c>
      <c r="F111" s="29">
        <f>F110*(1+INDEX(Settings!$G$13:$G$16,MATCH(C111,Settings!$A$13:$A$16,0)))+D111</f>
        <v/>
      </c>
      <c r="G111" s="29">
        <f>G110*(1+INDEX(Settings!$H$13:$H$16,MATCH(C111,Settings!$A$13:$A$16,0)))+D111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INDEX(Dashboard!$C$12:$C$19,MIN(8,INT((108-1)/60)+1))</f>
        <v/>
      </c>
      <c r="D112" s="29">
        <f>MIN(Dashboard!$C$9,INDEX(Settings!$B$19:$B$58,MIN(40,INT((108-1)/12)+1)))</f>
        <v/>
      </c>
      <c r="E112" s="29">
        <f>E111*(1+INDEX(Settings!$B$13:$B$16,MATCH(C112,Settings!$A$13:$A$16,0)))+D112</f>
        <v/>
      </c>
      <c r="F112" s="29">
        <f>F111*(1+INDEX(Settings!$G$13:$G$16,MATCH(C112,Settings!$A$13:$A$16,0)))+D112</f>
        <v/>
      </c>
      <c r="G112" s="29">
        <f>G111*(1+INDEX(Settings!$H$13:$H$16,MATCH(C112,Settings!$A$13:$A$16,0)))+D112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INDEX(Dashboard!$C$12:$C$19,MIN(8,INT((109-1)/60)+1))</f>
        <v/>
      </c>
      <c r="D113" s="29">
        <f>MIN(Dashboard!$C$9,INDEX(Settings!$B$19:$B$58,MIN(40,INT((109-1)/12)+1)))</f>
        <v/>
      </c>
      <c r="E113" s="29">
        <f>E112*(1+INDEX(Settings!$B$13:$B$16,MATCH(C113,Settings!$A$13:$A$16,0)))+D113</f>
        <v/>
      </c>
      <c r="F113" s="29">
        <f>F112*(1+INDEX(Settings!$G$13:$G$16,MATCH(C113,Settings!$A$13:$A$16,0)))+D113</f>
        <v/>
      </c>
      <c r="G113" s="29">
        <f>G112*(1+INDEX(Settings!$H$13:$H$16,MATCH(C113,Settings!$A$13:$A$16,0)))+D113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INDEX(Dashboard!$C$12:$C$19,MIN(8,INT((110-1)/60)+1))</f>
        <v/>
      </c>
      <c r="D114" s="29">
        <f>MIN(Dashboard!$C$9,INDEX(Settings!$B$19:$B$58,MIN(40,INT((110-1)/12)+1)))</f>
        <v/>
      </c>
      <c r="E114" s="29">
        <f>E113*(1+INDEX(Settings!$B$13:$B$16,MATCH(C114,Settings!$A$13:$A$16,0)))+D114</f>
        <v/>
      </c>
      <c r="F114" s="29">
        <f>F113*(1+INDEX(Settings!$G$13:$G$16,MATCH(C114,Settings!$A$13:$A$16,0)))+D114</f>
        <v/>
      </c>
      <c r="G114" s="29">
        <f>G113*(1+INDEX(Settings!$H$13:$H$16,MATCH(C114,Settings!$A$13:$A$16,0)))+D114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INDEX(Dashboard!$C$12:$C$19,MIN(8,INT((111-1)/60)+1))</f>
        <v/>
      </c>
      <c r="D115" s="29">
        <f>MIN(Dashboard!$C$9,INDEX(Settings!$B$19:$B$58,MIN(40,INT((111-1)/12)+1)))</f>
        <v/>
      </c>
      <c r="E115" s="29">
        <f>E114*(1+INDEX(Settings!$B$13:$B$16,MATCH(C115,Settings!$A$13:$A$16,0)))+D115</f>
        <v/>
      </c>
      <c r="F115" s="29">
        <f>F114*(1+INDEX(Settings!$G$13:$G$16,MATCH(C115,Settings!$A$13:$A$16,0)))+D115</f>
        <v/>
      </c>
      <c r="G115" s="29">
        <f>G114*(1+INDEX(Settings!$H$13:$H$16,MATCH(C115,Settings!$A$13:$A$16,0)))+D115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INDEX(Dashboard!$C$12:$C$19,MIN(8,INT((112-1)/60)+1))</f>
        <v/>
      </c>
      <c r="D116" s="29">
        <f>MIN(Dashboard!$C$9,INDEX(Settings!$B$19:$B$58,MIN(40,INT((112-1)/12)+1)))</f>
        <v/>
      </c>
      <c r="E116" s="29">
        <f>E115*(1+INDEX(Settings!$B$13:$B$16,MATCH(C116,Settings!$A$13:$A$16,0)))+D116</f>
        <v/>
      </c>
      <c r="F116" s="29">
        <f>F115*(1+INDEX(Settings!$G$13:$G$16,MATCH(C116,Settings!$A$13:$A$16,0)))+D116</f>
        <v/>
      </c>
      <c r="G116" s="29">
        <f>G115*(1+INDEX(Settings!$H$13:$H$16,MATCH(C116,Settings!$A$13:$A$16,0)))+D116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INDEX(Dashboard!$C$12:$C$19,MIN(8,INT((113-1)/60)+1))</f>
        <v/>
      </c>
      <c r="D117" s="29">
        <f>MIN(Dashboard!$C$9,INDEX(Settings!$B$19:$B$58,MIN(40,INT((113-1)/12)+1)))</f>
        <v/>
      </c>
      <c r="E117" s="29">
        <f>E116*(1+INDEX(Settings!$B$13:$B$16,MATCH(C117,Settings!$A$13:$A$16,0)))+D117</f>
        <v/>
      </c>
      <c r="F117" s="29">
        <f>F116*(1+INDEX(Settings!$G$13:$G$16,MATCH(C117,Settings!$A$13:$A$16,0)))+D117</f>
        <v/>
      </c>
      <c r="G117" s="29">
        <f>G116*(1+INDEX(Settings!$H$13:$H$16,MATCH(C117,Settings!$A$13:$A$16,0)))+D117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INDEX(Dashboard!$C$12:$C$19,MIN(8,INT((114-1)/60)+1))</f>
        <v/>
      </c>
      <c r="D118" s="29">
        <f>MIN(Dashboard!$C$9,INDEX(Settings!$B$19:$B$58,MIN(40,INT((114-1)/12)+1)))</f>
        <v/>
      </c>
      <c r="E118" s="29">
        <f>E117*(1+INDEX(Settings!$B$13:$B$16,MATCH(C118,Settings!$A$13:$A$16,0)))+D118</f>
        <v/>
      </c>
      <c r="F118" s="29">
        <f>F117*(1+INDEX(Settings!$G$13:$G$16,MATCH(C118,Settings!$A$13:$A$16,0)))+D118</f>
        <v/>
      </c>
      <c r="G118" s="29">
        <f>G117*(1+INDEX(Settings!$H$13:$H$16,MATCH(C118,Settings!$A$13:$A$16,0)))+D118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INDEX(Dashboard!$C$12:$C$19,MIN(8,INT((115-1)/60)+1))</f>
        <v/>
      </c>
      <c r="D119" s="29">
        <f>MIN(Dashboard!$C$9,INDEX(Settings!$B$19:$B$58,MIN(40,INT((115-1)/12)+1)))</f>
        <v/>
      </c>
      <c r="E119" s="29">
        <f>E118*(1+INDEX(Settings!$B$13:$B$16,MATCH(C119,Settings!$A$13:$A$16,0)))+D119</f>
        <v/>
      </c>
      <c r="F119" s="29">
        <f>F118*(1+INDEX(Settings!$G$13:$G$16,MATCH(C119,Settings!$A$13:$A$16,0)))+D119</f>
        <v/>
      </c>
      <c r="G119" s="29">
        <f>G118*(1+INDEX(Settings!$H$13:$H$16,MATCH(C119,Settings!$A$13:$A$16,0)))+D119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INDEX(Dashboard!$C$12:$C$19,MIN(8,INT((116-1)/60)+1))</f>
        <v/>
      </c>
      <c r="D120" s="29">
        <f>MIN(Dashboard!$C$9,INDEX(Settings!$B$19:$B$58,MIN(40,INT((116-1)/12)+1)))</f>
        <v/>
      </c>
      <c r="E120" s="29">
        <f>E119*(1+INDEX(Settings!$B$13:$B$16,MATCH(C120,Settings!$A$13:$A$16,0)))+D120</f>
        <v/>
      </c>
      <c r="F120" s="29">
        <f>F119*(1+INDEX(Settings!$G$13:$G$16,MATCH(C120,Settings!$A$13:$A$16,0)))+D120</f>
        <v/>
      </c>
      <c r="G120" s="29">
        <f>G119*(1+INDEX(Settings!$H$13:$H$16,MATCH(C120,Settings!$A$13:$A$16,0)))+D120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INDEX(Dashboard!$C$12:$C$19,MIN(8,INT((117-1)/60)+1))</f>
        <v/>
      </c>
      <c r="D121" s="29">
        <f>MIN(Dashboard!$C$9,INDEX(Settings!$B$19:$B$58,MIN(40,INT((117-1)/12)+1)))</f>
        <v/>
      </c>
      <c r="E121" s="29">
        <f>E120*(1+INDEX(Settings!$B$13:$B$16,MATCH(C121,Settings!$A$13:$A$16,0)))+D121</f>
        <v/>
      </c>
      <c r="F121" s="29">
        <f>F120*(1+INDEX(Settings!$G$13:$G$16,MATCH(C121,Settings!$A$13:$A$16,0)))+D121</f>
        <v/>
      </c>
      <c r="G121" s="29">
        <f>G120*(1+INDEX(Settings!$H$13:$H$16,MATCH(C121,Settings!$A$13:$A$16,0)))+D121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INDEX(Dashboard!$C$12:$C$19,MIN(8,INT((118-1)/60)+1))</f>
        <v/>
      </c>
      <c r="D122" s="29">
        <f>MIN(Dashboard!$C$9,INDEX(Settings!$B$19:$B$58,MIN(40,INT((118-1)/12)+1)))</f>
        <v/>
      </c>
      <c r="E122" s="29">
        <f>E121*(1+INDEX(Settings!$B$13:$B$16,MATCH(C122,Settings!$A$13:$A$16,0)))+D122</f>
        <v/>
      </c>
      <c r="F122" s="29">
        <f>F121*(1+INDEX(Settings!$G$13:$G$16,MATCH(C122,Settings!$A$13:$A$16,0)))+D122</f>
        <v/>
      </c>
      <c r="G122" s="29">
        <f>G121*(1+INDEX(Settings!$H$13:$H$16,MATCH(C122,Settings!$A$13:$A$16,0)))+D122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INDEX(Dashboard!$C$12:$C$19,MIN(8,INT((119-1)/60)+1))</f>
        <v/>
      </c>
      <c r="D123" s="29">
        <f>MIN(Dashboard!$C$9,INDEX(Settings!$B$19:$B$58,MIN(40,INT((119-1)/12)+1)))</f>
        <v/>
      </c>
      <c r="E123" s="29">
        <f>E122*(1+INDEX(Settings!$B$13:$B$16,MATCH(C123,Settings!$A$13:$A$16,0)))+D123</f>
        <v/>
      </c>
      <c r="F123" s="29">
        <f>F122*(1+INDEX(Settings!$G$13:$G$16,MATCH(C123,Settings!$A$13:$A$16,0)))+D123</f>
        <v/>
      </c>
      <c r="G123" s="29">
        <f>G122*(1+INDEX(Settings!$H$13:$H$16,MATCH(C123,Settings!$A$13:$A$16,0)))+D123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INDEX(Dashboard!$C$12:$C$19,MIN(8,INT((120-1)/60)+1))</f>
        <v/>
      </c>
      <c r="D124" s="29">
        <f>MIN(Dashboard!$C$9,INDEX(Settings!$B$19:$B$58,MIN(40,INT((120-1)/12)+1)))</f>
        <v/>
      </c>
      <c r="E124" s="29">
        <f>E123*(1+INDEX(Settings!$B$13:$B$16,MATCH(C124,Settings!$A$13:$A$16,0)))+D124</f>
        <v/>
      </c>
      <c r="F124" s="29">
        <f>F123*(1+INDEX(Settings!$G$13:$G$16,MATCH(C124,Settings!$A$13:$A$16,0)))+D124</f>
        <v/>
      </c>
      <c r="G124" s="29">
        <f>G123*(1+INDEX(Settings!$H$13:$H$16,MATCH(C124,Settings!$A$13:$A$16,0)))+D124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INDEX(Dashboard!$C$12:$C$19,MIN(8,INT((121-1)/60)+1))</f>
        <v/>
      </c>
      <c r="D125" s="29">
        <f>MIN(Dashboard!$C$9,INDEX(Settings!$B$19:$B$58,MIN(40,INT((121-1)/12)+1)))</f>
        <v/>
      </c>
      <c r="E125" s="29">
        <f>E124*(1+INDEX(Settings!$B$13:$B$16,MATCH(C125,Settings!$A$13:$A$16,0)))+D125</f>
        <v/>
      </c>
      <c r="F125" s="29">
        <f>F124*(1+INDEX(Settings!$G$13:$G$16,MATCH(C125,Settings!$A$13:$A$16,0)))+D125</f>
        <v/>
      </c>
      <c r="G125" s="29">
        <f>G124*(1+INDEX(Settings!$H$13:$H$16,MATCH(C125,Settings!$A$13:$A$16,0)))+D125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INDEX(Dashboard!$C$12:$C$19,MIN(8,INT((122-1)/60)+1))</f>
        <v/>
      </c>
      <c r="D126" s="29">
        <f>MIN(Dashboard!$C$9,INDEX(Settings!$B$19:$B$58,MIN(40,INT((122-1)/12)+1)))</f>
        <v/>
      </c>
      <c r="E126" s="29">
        <f>E125*(1+INDEX(Settings!$B$13:$B$16,MATCH(C126,Settings!$A$13:$A$16,0)))+D126</f>
        <v/>
      </c>
      <c r="F126" s="29">
        <f>F125*(1+INDEX(Settings!$G$13:$G$16,MATCH(C126,Settings!$A$13:$A$16,0)))+D126</f>
        <v/>
      </c>
      <c r="G126" s="29">
        <f>G125*(1+INDEX(Settings!$H$13:$H$16,MATCH(C126,Settings!$A$13:$A$16,0)))+D126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INDEX(Dashboard!$C$12:$C$19,MIN(8,INT((123-1)/60)+1))</f>
        <v/>
      </c>
      <c r="D127" s="29">
        <f>MIN(Dashboard!$C$9,INDEX(Settings!$B$19:$B$58,MIN(40,INT((123-1)/12)+1)))</f>
        <v/>
      </c>
      <c r="E127" s="29">
        <f>E126*(1+INDEX(Settings!$B$13:$B$16,MATCH(C127,Settings!$A$13:$A$16,0)))+D127</f>
        <v/>
      </c>
      <c r="F127" s="29">
        <f>F126*(1+INDEX(Settings!$G$13:$G$16,MATCH(C127,Settings!$A$13:$A$16,0)))+D127</f>
        <v/>
      </c>
      <c r="G127" s="29">
        <f>G126*(1+INDEX(Settings!$H$13:$H$16,MATCH(C127,Settings!$A$13:$A$16,0)))+D127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INDEX(Dashboard!$C$12:$C$19,MIN(8,INT((124-1)/60)+1))</f>
        <v/>
      </c>
      <c r="D128" s="29">
        <f>MIN(Dashboard!$C$9,INDEX(Settings!$B$19:$B$58,MIN(40,INT((124-1)/12)+1)))</f>
        <v/>
      </c>
      <c r="E128" s="29">
        <f>E127*(1+INDEX(Settings!$B$13:$B$16,MATCH(C128,Settings!$A$13:$A$16,0)))+D128</f>
        <v/>
      </c>
      <c r="F128" s="29">
        <f>F127*(1+INDEX(Settings!$G$13:$G$16,MATCH(C128,Settings!$A$13:$A$16,0)))+D128</f>
        <v/>
      </c>
      <c r="G128" s="29">
        <f>G127*(1+INDEX(Settings!$H$13:$H$16,MATCH(C128,Settings!$A$13:$A$16,0)))+D128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INDEX(Dashboard!$C$12:$C$19,MIN(8,INT((125-1)/60)+1))</f>
        <v/>
      </c>
      <c r="D129" s="29">
        <f>MIN(Dashboard!$C$9,INDEX(Settings!$B$19:$B$58,MIN(40,INT((125-1)/12)+1)))</f>
        <v/>
      </c>
      <c r="E129" s="29">
        <f>E128*(1+INDEX(Settings!$B$13:$B$16,MATCH(C129,Settings!$A$13:$A$16,0)))+D129</f>
        <v/>
      </c>
      <c r="F129" s="29">
        <f>F128*(1+INDEX(Settings!$G$13:$G$16,MATCH(C129,Settings!$A$13:$A$16,0)))+D129</f>
        <v/>
      </c>
      <c r="G129" s="29">
        <f>G128*(1+INDEX(Settings!$H$13:$H$16,MATCH(C129,Settings!$A$13:$A$16,0)))+D129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INDEX(Dashboard!$C$12:$C$19,MIN(8,INT((126-1)/60)+1))</f>
        <v/>
      </c>
      <c r="D130" s="29">
        <f>MIN(Dashboard!$C$9,INDEX(Settings!$B$19:$B$58,MIN(40,INT((126-1)/12)+1)))</f>
        <v/>
      </c>
      <c r="E130" s="29">
        <f>E129*(1+INDEX(Settings!$B$13:$B$16,MATCH(C130,Settings!$A$13:$A$16,0)))+D130</f>
        <v/>
      </c>
      <c r="F130" s="29">
        <f>F129*(1+INDEX(Settings!$G$13:$G$16,MATCH(C130,Settings!$A$13:$A$16,0)))+D130</f>
        <v/>
      </c>
      <c r="G130" s="29">
        <f>G129*(1+INDEX(Settings!$H$13:$H$16,MATCH(C130,Settings!$A$13:$A$16,0)))+D130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INDEX(Dashboard!$C$12:$C$19,MIN(8,INT((127-1)/60)+1))</f>
        <v/>
      </c>
      <c r="D131" s="29">
        <f>MIN(Dashboard!$C$9,INDEX(Settings!$B$19:$B$58,MIN(40,INT((127-1)/12)+1)))</f>
        <v/>
      </c>
      <c r="E131" s="29">
        <f>E130*(1+INDEX(Settings!$B$13:$B$16,MATCH(C131,Settings!$A$13:$A$16,0)))+D131</f>
        <v/>
      </c>
      <c r="F131" s="29">
        <f>F130*(1+INDEX(Settings!$G$13:$G$16,MATCH(C131,Settings!$A$13:$A$16,0)))+D131</f>
        <v/>
      </c>
      <c r="G131" s="29">
        <f>G130*(1+INDEX(Settings!$H$13:$H$16,MATCH(C131,Settings!$A$13:$A$16,0)))+D131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INDEX(Dashboard!$C$12:$C$19,MIN(8,INT((128-1)/60)+1))</f>
        <v/>
      </c>
      <c r="D132" s="29">
        <f>MIN(Dashboard!$C$9,INDEX(Settings!$B$19:$B$58,MIN(40,INT((128-1)/12)+1)))</f>
        <v/>
      </c>
      <c r="E132" s="29">
        <f>E131*(1+INDEX(Settings!$B$13:$B$16,MATCH(C132,Settings!$A$13:$A$16,0)))+D132</f>
        <v/>
      </c>
      <c r="F132" s="29">
        <f>F131*(1+INDEX(Settings!$G$13:$G$16,MATCH(C132,Settings!$A$13:$A$16,0)))+D132</f>
        <v/>
      </c>
      <c r="G132" s="29">
        <f>G131*(1+INDEX(Settings!$H$13:$H$16,MATCH(C132,Settings!$A$13:$A$16,0)))+D132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INDEX(Dashboard!$C$12:$C$19,MIN(8,INT((129-1)/60)+1))</f>
        <v/>
      </c>
      <c r="D133" s="29">
        <f>MIN(Dashboard!$C$9,INDEX(Settings!$B$19:$B$58,MIN(40,INT((129-1)/12)+1)))</f>
        <v/>
      </c>
      <c r="E133" s="29">
        <f>E132*(1+INDEX(Settings!$B$13:$B$16,MATCH(C133,Settings!$A$13:$A$16,0)))+D133</f>
        <v/>
      </c>
      <c r="F133" s="29">
        <f>F132*(1+INDEX(Settings!$G$13:$G$16,MATCH(C133,Settings!$A$13:$A$16,0)))+D133</f>
        <v/>
      </c>
      <c r="G133" s="29">
        <f>G132*(1+INDEX(Settings!$H$13:$H$16,MATCH(C133,Settings!$A$13:$A$16,0)))+D133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INDEX(Dashboard!$C$12:$C$19,MIN(8,INT((130-1)/60)+1))</f>
        <v/>
      </c>
      <c r="D134" s="29">
        <f>MIN(Dashboard!$C$9,INDEX(Settings!$B$19:$B$58,MIN(40,INT((130-1)/12)+1)))</f>
        <v/>
      </c>
      <c r="E134" s="29">
        <f>E133*(1+INDEX(Settings!$B$13:$B$16,MATCH(C134,Settings!$A$13:$A$16,0)))+D134</f>
        <v/>
      </c>
      <c r="F134" s="29">
        <f>F133*(1+INDEX(Settings!$G$13:$G$16,MATCH(C134,Settings!$A$13:$A$16,0)))+D134</f>
        <v/>
      </c>
      <c r="G134" s="29">
        <f>G133*(1+INDEX(Settings!$H$13:$H$16,MATCH(C134,Settings!$A$13:$A$16,0)))+D134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INDEX(Dashboard!$C$12:$C$19,MIN(8,INT((131-1)/60)+1))</f>
        <v/>
      </c>
      <c r="D135" s="29">
        <f>MIN(Dashboard!$C$9,INDEX(Settings!$B$19:$B$58,MIN(40,INT((131-1)/12)+1)))</f>
        <v/>
      </c>
      <c r="E135" s="29">
        <f>E134*(1+INDEX(Settings!$B$13:$B$16,MATCH(C135,Settings!$A$13:$A$16,0)))+D135</f>
        <v/>
      </c>
      <c r="F135" s="29">
        <f>F134*(1+INDEX(Settings!$G$13:$G$16,MATCH(C135,Settings!$A$13:$A$16,0)))+D135</f>
        <v/>
      </c>
      <c r="G135" s="29">
        <f>G134*(1+INDEX(Settings!$H$13:$H$16,MATCH(C135,Settings!$A$13:$A$16,0)))+D135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INDEX(Dashboard!$C$12:$C$19,MIN(8,INT((132-1)/60)+1))</f>
        <v/>
      </c>
      <c r="D136" s="29">
        <f>MIN(Dashboard!$C$9,INDEX(Settings!$B$19:$B$58,MIN(40,INT((132-1)/12)+1)))</f>
        <v/>
      </c>
      <c r="E136" s="29">
        <f>E135*(1+INDEX(Settings!$B$13:$B$16,MATCH(C136,Settings!$A$13:$A$16,0)))+D136</f>
        <v/>
      </c>
      <c r="F136" s="29">
        <f>F135*(1+INDEX(Settings!$G$13:$G$16,MATCH(C136,Settings!$A$13:$A$16,0)))+D136</f>
        <v/>
      </c>
      <c r="G136" s="29">
        <f>G135*(1+INDEX(Settings!$H$13:$H$16,MATCH(C136,Settings!$A$13:$A$16,0)))+D136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INDEX(Dashboard!$C$12:$C$19,MIN(8,INT((133-1)/60)+1))</f>
        <v/>
      </c>
      <c r="D137" s="29">
        <f>MIN(Dashboard!$C$9,INDEX(Settings!$B$19:$B$58,MIN(40,INT((133-1)/12)+1)))</f>
        <v/>
      </c>
      <c r="E137" s="29">
        <f>E136*(1+INDEX(Settings!$B$13:$B$16,MATCH(C137,Settings!$A$13:$A$16,0)))+D137</f>
        <v/>
      </c>
      <c r="F137" s="29">
        <f>F136*(1+INDEX(Settings!$G$13:$G$16,MATCH(C137,Settings!$A$13:$A$16,0)))+D137</f>
        <v/>
      </c>
      <c r="G137" s="29">
        <f>G136*(1+INDEX(Settings!$H$13:$H$16,MATCH(C137,Settings!$A$13:$A$16,0)))+D137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INDEX(Dashboard!$C$12:$C$19,MIN(8,INT((134-1)/60)+1))</f>
        <v/>
      </c>
      <c r="D138" s="29">
        <f>MIN(Dashboard!$C$9,INDEX(Settings!$B$19:$B$58,MIN(40,INT((134-1)/12)+1)))</f>
        <v/>
      </c>
      <c r="E138" s="29">
        <f>E137*(1+INDEX(Settings!$B$13:$B$16,MATCH(C138,Settings!$A$13:$A$16,0)))+D138</f>
        <v/>
      </c>
      <c r="F138" s="29">
        <f>F137*(1+INDEX(Settings!$G$13:$G$16,MATCH(C138,Settings!$A$13:$A$16,0)))+D138</f>
        <v/>
      </c>
      <c r="G138" s="29">
        <f>G137*(1+INDEX(Settings!$H$13:$H$16,MATCH(C138,Settings!$A$13:$A$16,0)))+D138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INDEX(Dashboard!$C$12:$C$19,MIN(8,INT((135-1)/60)+1))</f>
        <v/>
      </c>
      <c r="D139" s="29">
        <f>MIN(Dashboard!$C$9,INDEX(Settings!$B$19:$B$58,MIN(40,INT((135-1)/12)+1)))</f>
        <v/>
      </c>
      <c r="E139" s="29">
        <f>E138*(1+INDEX(Settings!$B$13:$B$16,MATCH(C139,Settings!$A$13:$A$16,0)))+D139</f>
        <v/>
      </c>
      <c r="F139" s="29">
        <f>F138*(1+INDEX(Settings!$G$13:$G$16,MATCH(C139,Settings!$A$13:$A$16,0)))+D139</f>
        <v/>
      </c>
      <c r="G139" s="29">
        <f>G138*(1+INDEX(Settings!$H$13:$H$16,MATCH(C139,Settings!$A$13:$A$16,0)))+D139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INDEX(Dashboard!$C$12:$C$19,MIN(8,INT((136-1)/60)+1))</f>
        <v/>
      </c>
      <c r="D140" s="29">
        <f>MIN(Dashboard!$C$9,INDEX(Settings!$B$19:$B$58,MIN(40,INT((136-1)/12)+1)))</f>
        <v/>
      </c>
      <c r="E140" s="29">
        <f>E139*(1+INDEX(Settings!$B$13:$B$16,MATCH(C140,Settings!$A$13:$A$16,0)))+D140</f>
        <v/>
      </c>
      <c r="F140" s="29">
        <f>F139*(1+INDEX(Settings!$G$13:$G$16,MATCH(C140,Settings!$A$13:$A$16,0)))+D140</f>
        <v/>
      </c>
      <c r="G140" s="29">
        <f>G139*(1+INDEX(Settings!$H$13:$H$16,MATCH(C140,Settings!$A$13:$A$16,0)))+D140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INDEX(Dashboard!$C$12:$C$19,MIN(8,INT((137-1)/60)+1))</f>
        <v/>
      </c>
      <c r="D141" s="29">
        <f>MIN(Dashboard!$C$9,INDEX(Settings!$B$19:$B$58,MIN(40,INT((137-1)/12)+1)))</f>
        <v/>
      </c>
      <c r="E141" s="29">
        <f>E140*(1+INDEX(Settings!$B$13:$B$16,MATCH(C141,Settings!$A$13:$A$16,0)))+D141</f>
        <v/>
      </c>
      <c r="F141" s="29">
        <f>F140*(1+INDEX(Settings!$G$13:$G$16,MATCH(C141,Settings!$A$13:$A$16,0)))+D141</f>
        <v/>
      </c>
      <c r="G141" s="29">
        <f>G140*(1+INDEX(Settings!$H$13:$H$16,MATCH(C141,Settings!$A$13:$A$16,0)))+D141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INDEX(Dashboard!$C$12:$C$19,MIN(8,INT((138-1)/60)+1))</f>
        <v/>
      </c>
      <c r="D142" s="29">
        <f>MIN(Dashboard!$C$9,INDEX(Settings!$B$19:$B$58,MIN(40,INT((138-1)/12)+1)))</f>
        <v/>
      </c>
      <c r="E142" s="29">
        <f>E141*(1+INDEX(Settings!$B$13:$B$16,MATCH(C142,Settings!$A$13:$A$16,0)))+D142</f>
        <v/>
      </c>
      <c r="F142" s="29">
        <f>F141*(1+INDEX(Settings!$G$13:$G$16,MATCH(C142,Settings!$A$13:$A$16,0)))+D142</f>
        <v/>
      </c>
      <c r="G142" s="29">
        <f>G141*(1+INDEX(Settings!$H$13:$H$16,MATCH(C142,Settings!$A$13:$A$16,0)))+D142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INDEX(Dashboard!$C$12:$C$19,MIN(8,INT((139-1)/60)+1))</f>
        <v/>
      </c>
      <c r="D143" s="29">
        <f>MIN(Dashboard!$C$9,INDEX(Settings!$B$19:$B$58,MIN(40,INT((139-1)/12)+1)))</f>
        <v/>
      </c>
      <c r="E143" s="29">
        <f>E142*(1+INDEX(Settings!$B$13:$B$16,MATCH(C143,Settings!$A$13:$A$16,0)))+D143</f>
        <v/>
      </c>
      <c r="F143" s="29">
        <f>F142*(1+INDEX(Settings!$G$13:$G$16,MATCH(C143,Settings!$A$13:$A$16,0)))+D143</f>
        <v/>
      </c>
      <c r="G143" s="29">
        <f>G142*(1+INDEX(Settings!$H$13:$H$16,MATCH(C143,Settings!$A$13:$A$16,0)))+D143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INDEX(Dashboard!$C$12:$C$19,MIN(8,INT((140-1)/60)+1))</f>
        <v/>
      </c>
      <c r="D144" s="29">
        <f>MIN(Dashboard!$C$9,INDEX(Settings!$B$19:$B$58,MIN(40,INT((140-1)/12)+1)))</f>
        <v/>
      </c>
      <c r="E144" s="29">
        <f>E143*(1+INDEX(Settings!$B$13:$B$16,MATCH(C144,Settings!$A$13:$A$16,0)))+D144</f>
        <v/>
      </c>
      <c r="F144" s="29">
        <f>F143*(1+INDEX(Settings!$G$13:$G$16,MATCH(C144,Settings!$A$13:$A$16,0)))+D144</f>
        <v/>
      </c>
      <c r="G144" s="29">
        <f>G143*(1+INDEX(Settings!$H$13:$H$16,MATCH(C144,Settings!$A$13:$A$16,0)))+D144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INDEX(Dashboard!$C$12:$C$19,MIN(8,INT((141-1)/60)+1))</f>
        <v/>
      </c>
      <c r="D145" s="29">
        <f>MIN(Dashboard!$C$9,INDEX(Settings!$B$19:$B$58,MIN(40,INT((141-1)/12)+1)))</f>
        <v/>
      </c>
      <c r="E145" s="29">
        <f>E144*(1+INDEX(Settings!$B$13:$B$16,MATCH(C145,Settings!$A$13:$A$16,0)))+D145</f>
        <v/>
      </c>
      <c r="F145" s="29">
        <f>F144*(1+INDEX(Settings!$G$13:$G$16,MATCH(C145,Settings!$A$13:$A$16,0)))+D145</f>
        <v/>
      </c>
      <c r="G145" s="29">
        <f>G144*(1+INDEX(Settings!$H$13:$H$16,MATCH(C145,Settings!$A$13:$A$16,0)))+D145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INDEX(Dashboard!$C$12:$C$19,MIN(8,INT((142-1)/60)+1))</f>
        <v/>
      </c>
      <c r="D146" s="29">
        <f>MIN(Dashboard!$C$9,INDEX(Settings!$B$19:$B$58,MIN(40,INT((142-1)/12)+1)))</f>
        <v/>
      </c>
      <c r="E146" s="29">
        <f>E145*(1+INDEX(Settings!$B$13:$B$16,MATCH(C146,Settings!$A$13:$A$16,0)))+D146</f>
        <v/>
      </c>
      <c r="F146" s="29">
        <f>F145*(1+INDEX(Settings!$G$13:$G$16,MATCH(C146,Settings!$A$13:$A$16,0)))+D146</f>
        <v/>
      </c>
      <c r="G146" s="29">
        <f>G145*(1+INDEX(Settings!$H$13:$H$16,MATCH(C146,Settings!$A$13:$A$16,0)))+D146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INDEX(Dashboard!$C$12:$C$19,MIN(8,INT((143-1)/60)+1))</f>
        <v/>
      </c>
      <c r="D147" s="29">
        <f>MIN(Dashboard!$C$9,INDEX(Settings!$B$19:$B$58,MIN(40,INT((143-1)/12)+1)))</f>
        <v/>
      </c>
      <c r="E147" s="29">
        <f>E146*(1+INDEX(Settings!$B$13:$B$16,MATCH(C147,Settings!$A$13:$A$16,0)))+D147</f>
        <v/>
      </c>
      <c r="F147" s="29">
        <f>F146*(1+INDEX(Settings!$G$13:$G$16,MATCH(C147,Settings!$A$13:$A$16,0)))+D147</f>
        <v/>
      </c>
      <c r="G147" s="29">
        <f>G146*(1+INDEX(Settings!$H$13:$H$16,MATCH(C147,Settings!$A$13:$A$16,0)))+D147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INDEX(Dashboard!$C$12:$C$19,MIN(8,INT((144-1)/60)+1))</f>
        <v/>
      </c>
      <c r="D148" s="29">
        <f>MIN(Dashboard!$C$9,INDEX(Settings!$B$19:$B$58,MIN(40,INT((144-1)/12)+1)))</f>
        <v/>
      </c>
      <c r="E148" s="29">
        <f>E147*(1+INDEX(Settings!$B$13:$B$16,MATCH(C148,Settings!$A$13:$A$16,0)))+D148</f>
        <v/>
      </c>
      <c r="F148" s="29">
        <f>F147*(1+INDEX(Settings!$G$13:$G$16,MATCH(C148,Settings!$A$13:$A$16,0)))+D148</f>
        <v/>
      </c>
      <c r="G148" s="29">
        <f>G147*(1+INDEX(Settings!$H$13:$H$16,MATCH(C148,Settings!$A$13:$A$16,0)))+D148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INDEX(Dashboard!$C$12:$C$19,MIN(8,INT((145-1)/60)+1))</f>
        <v/>
      </c>
      <c r="D149" s="29">
        <f>MIN(Dashboard!$C$9,INDEX(Settings!$B$19:$B$58,MIN(40,INT((145-1)/12)+1)))</f>
        <v/>
      </c>
      <c r="E149" s="29">
        <f>E148*(1+INDEX(Settings!$B$13:$B$16,MATCH(C149,Settings!$A$13:$A$16,0)))+D149</f>
        <v/>
      </c>
      <c r="F149" s="29">
        <f>F148*(1+INDEX(Settings!$G$13:$G$16,MATCH(C149,Settings!$A$13:$A$16,0)))+D149</f>
        <v/>
      </c>
      <c r="G149" s="29">
        <f>G148*(1+INDEX(Settings!$H$13:$H$16,MATCH(C149,Settings!$A$13:$A$16,0)))+D149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INDEX(Dashboard!$C$12:$C$19,MIN(8,INT((146-1)/60)+1))</f>
        <v/>
      </c>
      <c r="D150" s="29">
        <f>MIN(Dashboard!$C$9,INDEX(Settings!$B$19:$B$58,MIN(40,INT((146-1)/12)+1)))</f>
        <v/>
      </c>
      <c r="E150" s="29">
        <f>E149*(1+INDEX(Settings!$B$13:$B$16,MATCH(C150,Settings!$A$13:$A$16,0)))+D150</f>
        <v/>
      </c>
      <c r="F150" s="29">
        <f>F149*(1+INDEX(Settings!$G$13:$G$16,MATCH(C150,Settings!$A$13:$A$16,0)))+D150</f>
        <v/>
      </c>
      <c r="G150" s="29">
        <f>G149*(1+INDEX(Settings!$H$13:$H$16,MATCH(C150,Settings!$A$13:$A$16,0)))+D150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INDEX(Dashboard!$C$12:$C$19,MIN(8,INT((147-1)/60)+1))</f>
        <v/>
      </c>
      <c r="D151" s="29">
        <f>MIN(Dashboard!$C$9,INDEX(Settings!$B$19:$B$58,MIN(40,INT((147-1)/12)+1)))</f>
        <v/>
      </c>
      <c r="E151" s="29">
        <f>E150*(1+INDEX(Settings!$B$13:$B$16,MATCH(C151,Settings!$A$13:$A$16,0)))+D151</f>
        <v/>
      </c>
      <c r="F151" s="29">
        <f>F150*(1+INDEX(Settings!$G$13:$G$16,MATCH(C151,Settings!$A$13:$A$16,0)))+D151</f>
        <v/>
      </c>
      <c r="G151" s="29">
        <f>G150*(1+INDEX(Settings!$H$13:$H$16,MATCH(C151,Settings!$A$13:$A$16,0)))+D151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INDEX(Dashboard!$C$12:$C$19,MIN(8,INT((148-1)/60)+1))</f>
        <v/>
      </c>
      <c r="D152" s="29">
        <f>MIN(Dashboard!$C$9,INDEX(Settings!$B$19:$B$58,MIN(40,INT((148-1)/12)+1)))</f>
        <v/>
      </c>
      <c r="E152" s="29">
        <f>E151*(1+INDEX(Settings!$B$13:$B$16,MATCH(C152,Settings!$A$13:$A$16,0)))+D152</f>
        <v/>
      </c>
      <c r="F152" s="29">
        <f>F151*(1+INDEX(Settings!$G$13:$G$16,MATCH(C152,Settings!$A$13:$A$16,0)))+D152</f>
        <v/>
      </c>
      <c r="G152" s="29">
        <f>G151*(1+INDEX(Settings!$H$13:$H$16,MATCH(C152,Settings!$A$13:$A$16,0)))+D152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INDEX(Dashboard!$C$12:$C$19,MIN(8,INT((149-1)/60)+1))</f>
        <v/>
      </c>
      <c r="D153" s="29">
        <f>MIN(Dashboard!$C$9,INDEX(Settings!$B$19:$B$58,MIN(40,INT((149-1)/12)+1)))</f>
        <v/>
      </c>
      <c r="E153" s="29">
        <f>E152*(1+INDEX(Settings!$B$13:$B$16,MATCH(C153,Settings!$A$13:$A$16,0)))+D153</f>
        <v/>
      </c>
      <c r="F153" s="29">
        <f>F152*(1+INDEX(Settings!$G$13:$G$16,MATCH(C153,Settings!$A$13:$A$16,0)))+D153</f>
        <v/>
      </c>
      <c r="G153" s="29">
        <f>G152*(1+INDEX(Settings!$H$13:$H$16,MATCH(C153,Settings!$A$13:$A$16,0)))+D153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INDEX(Dashboard!$C$12:$C$19,MIN(8,INT((150-1)/60)+1))</f>
        <v/>
      </c>
      <c r="D154" s="29">
        <f>MIN(Dashboard!$C$9,INDEX(Settings!$B$19:$B$58,MIN(40,INT((150-1)/12)+1)))</f>
        <v/>
      </c>
      <c r="E154" s="29">
        <f>E153*(1+INDEX(Settings!$B$13:$B$16,MATCH(C154,Settings!$A$13:$A$16,0)))+D154</f>
        <v/>
      </c>
      <c r="F154" s="29">
        <f>F153*(1+INDEX(Settings!$G$13:$G$16,MATCH(C154,Settings!$A$13:$A$16,0)))+D154</f>
        <v/>
      </c>
      <c r="G154" s="29">
        <f>G153*(1+INDEX(Settings!$H$13:$H$16,MATCH(C154,Settings!$A$13:$A$16,0)))+D154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INDEX(Dashboard!$C$12:$C$19,MIN(8,INT((151-1)/60)+1))</f>
        <v/>
      </c>
      <c r="D155" s="29">
        <f>MIN(Dashboard!$C$9,INDEX(Settings!$B$19:$B$58,MIN(40,INT((151-1)/12)+1)))</f>
        <v/>
      </c>
      <c r="E155" s="29">
        <f>E154*(1+INDEX(Settings!$B$13:$B$16,MATCH(C155,Settings!$A$13:$A$16,0)))+D155</f>
        <v/>
      </c>
      <c r="F155" s="29">
        <f>F154*(1+INDEX(Settings!$G$13:$G$16,MATCH(C155,Settings!$A$13:$A$16,0)))+D155</f>
        <v/>
      </c>
      <c r="G155" s="29">
        <f>G154*(1+INDEX(Settings!$H$13:$H$16,MATCH(C155,Settings!$A$13:$A$16,0)))+D155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INDEX(Dashboard!$C$12:$C$19,MIN(8,INT((152-1)/60)+1))</f>
        <v/>
      </c>
      <c r="D156" s="29">
        <f>MIN(Dashboard!$C$9,INDEX(Settings!$B$19:$B$58,MIN(40,INT((152-1)/12)+1)))</f>
        <v/>
      </c>
      <c r="E156" s="29">
        <f>E155*(1+INDEX(Settings!$B$13:$B$16,MATCH(C156,Settings!$A$13:$A$16,0)))+D156</f>
        <v/>
      </c>
      <c r="F156" s="29">
        <f>F155*(1+INDEX(Settings!$G$13:$G$16,MATCH(C156,Settings!$A$13:$A$16,0)))+D156</f>
        <v/>
      </c>
      <c r="G156" s="29">
        <f>G155*(1+INDEX(Settings!$H$13:$H$16,MATCH(C156,Settings!$A$13:$A$16,0)))+D156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INDEX(Dashboard!$C$12:$C$19,MIN(8,INT((153-1)/60)+1))</f>
        <v/>
      </c>
      <c r="D157" s="29">
        <f>MIN(Dashboard!$C$9,INDEX(Settings!$B$19:$B$58,MIN(40,INT((153-1)/12)+1)))</f>
        <v/>
      </c>
      <c r="E157" s="29">
        <f>E156*(1+INDEX(Settings!$B$13:$B$16,MATCH(C157,Settings!$A$13:$A$16,0)))+D157</f>
        <v/>
      </c>
      <c r="F157" s="29">
        <f>F156*(1+INDEX(Settings!$G$13:$G$16,MATCH(C157,Settings!$A$13:$A$16,0)))+D157</f>
        <v/>
      </c>
      <c r="G157" s="29">
        <f>G156*(1+INDEX(Settings!$H$13:$H$16,MATCH(C157,Settings!$A$13:$A$16,0)))+D157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INDEX(Dashboard!$C$12:$C$19,MIN(8,INT((154-1)/60)+1))</f>
        <v/>
      </c>
      <c r="D158" s="29">
        <f>MIN(Dashboard!$C$9,INDEX(Settings!$B$19:$B$58,MIN(40,INT((154-1)/12)+1)))</f>
        <v/>
      </c>
      <c r="E158" s="29">
        <f>E157*(1+INDEX(Settings!$B$13:$B$16,MATCH(C158,Settings!$A$13:$A$16,0)))+D158</f>
        <v/>
      </c>
      <c r="F158" s="29">
        <f>F157*(1+INDEX(Settings!$G$13:$G$16,MATCH(C158,Settings!$A$13:$A$16,0)))+D158</f>
        <v/>
      </c>
      <c r="G158" s="29">
        <f>G157*(1+INDEX(Settings!$H$13:$H$16,MATCH(C158,Settings!$A$13:$A$16,0)))+D158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INDEX(Dashboard!$C$12:$C$19,MIN(8,INT((155-1)/60)+1))</f>
        <v/>
      </c>
      <c r="D159" s="29">
        <f>MIN(Dashboard!$C$9,INDEX(Settings!$B$19:$B$58,MIN(40,INT((155-1)/12)+1)))</f>
        <v/>
      </c>
      <c r="E159" s="29">
        <f>E158*(1+INDEX(Settings!$B$13:$B$16,MATCH(C159,Settings!$A$13:$A$16,0)))+D159</f>
        <v/>
      </c>
      <c r="F159" s="29">
        <f>F158*(1+INDEX(Settings!$G$13:$G$16,MATCH(C159,Settings!$A$13:$A$16,0)))+D159</f>
        <v/>
      </c>
      <c r="G159" s="29">
        <f>G158*(1+INDEX(Settings!$H$13:$H$16,MATCH(C159,Settings!$A$13:$A$16,0)))+D159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INDEX(Dashboard!$C$12:$C$19,MIN(8,INT((156-1)/60)+1))</f>
        <v/>
      </c>
      <c r="D160" s="29">
        <f>MIN(Dashboard!$C$9,INDEX(Settings!$B$19:$B$58,MIN(40,INT((156-1)/12)+1)))</f>
        <v/>
      </c>
      <c r="E160" s="29">
        <f>E159*(1+INDEX(Settings!$B$13:$B$16,MATCH(C160,Settings!$A$13:$A$16,0)))+D160</f>
        <v/>
      </c>
      <c r="F160" s="29">
        <f>F159*(1+INDEX(Settings!$G$13:$G$16,MATCH(C160,Settings!$A$13:$A$16,0)))+D160</f>
        <v/>
      </c>
      <c r="G160" s="29">
        <f>G159*(1+INDEX(Settings!$H$13:$H$16,MATCH(C160,Settings!$A$13:$A$16,0)))+D160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INDEX(Dashboard!$C$12:$C$19,MIN(8,INT((157-1)/60)+1))</f>
        <v/>
      </c>
      <c r="D161" s="29">
        <f>MIN(Dashboard!$C$9,INDEX(Settings!$B$19:$B$58,MIN(40,INT((157-1)/12)+1)))</f>
        <v/>
      </c>
      <c r="E161" s="29">
        <f>E160*(1+INDEX(Settings!$B$13:$B$16,MATCH(C161,Settings!$A$13:$A$16,0)))+D161</f>
        <v/>
      </c>
      <c r="F161" s="29">
        <f>F160*(1+INDEX(Settings!$G$13:$G$16,MATCH(C161,Settings!$A$13:$A$16,0)))+D161</f>
        <v/>
      </c>
      <c r="G161" s="29">
        <f>G160*(1+INDEX(Settings!$H$13:$H$16,MATCH(C161,Settings!$A$13:$A$16,0)))+D161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INDEX(Dashboard!$C$12:$C$19,MIN(8,INT((158-1)/60)+1))</f>
        <v/>
      </c>
      <c r="D162" s="29">
        <f>MIN(Dashboard!$C$9,INDEX(Settings!$B$19:$B$58,MIN(40,INT((158-1)/12)+1)))</f>
        <v/>
      </c>
      <c r="E162" s="29">
        <f>E161*(1+INDEX(Settings!$B$13:$B$16,MATCH(C162,Settings!$A$13:$A$16,0)))+D162</f>
        <v/>
      </c>
      <c r="F162" s="29">
        <f>F161*(1+INDEX(Settings!$G$13:$G$16,MATCH(C162,Settings!$A$13:$A$16,0)))+D162</f>
        <v/>
      </c>
      <c r="G162" s="29">
        <f>G161*(1+INDEX(Settings!$H$13:$H$16,MATCH(C162,Settings!$A$13:$A$16,0)))+D162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INDEX(Dashboard!$C$12:$C$19,MIN(8,INT((159-1)/60)+1))</f>
        <v/>
      </c>
      <c r="D163" s="29">
        <f>MIN(Dashboard!$C$9,INDEX(Settings!$B$19:$B$58,MIN(40,INT((159-1)/12)+1)))</f>
        <v/>
      </c>
      <c r="E163" s="29">
        <f>E162*(1+INDEX(Settings!$B$13:$B$16,MATCH(C163,Settings!$A$13:$A$16,0)))+D163</f>
        <v/>
      </c>
      <c r="F163" s="29">
        <f>F162*(1+INDEX(Settings!$G$13:$G$16,MATCH(C163,Settings!$A$13:$A$16,0)))+D163</f>
        <v/>
      </c>
      <c r="G163" s="29">
        <f>G162*(1+INDEX(Settings!$H$13:$H$16,MATCH(C163,Settings!$A$13:$A$16,0)))+D163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INDEX(Dashboard!$C$12:$C$19,MIN(8,INT((160-1)/60)+1))</f>
        <v/>
      </c>
      <c r="D164" s="29">
        <f>MIN(Dashboard!$C$9,INDEX(Settings!$B$19:$B$58,MIN(40,INT((160-1)/12)+1)))</f>
        <v/>
      </c>
      <c r="E164" s="29">
        <f>E163*(1+INDEX(Settings!$B$13:$B$16,MATCH(C164,Settings!$A$13:$A$16,0)))+D164</f>
        <v/>
      </c>
      <c r="F164" s="29">
        <f>F163*(1+INDEX(Settings!$G$13:$G$16,MATCH(C164,Settings!$A$13:$A$16,0)))+D164</f>
        <v/>
      </c>
      <c r="G164" s="29">
        <f>G163*(1+INDEX(Settings!$H$13:$H$16,MATCH(C164,Settings!$A$13:$A$16,0)))+D164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INDEX(Dashboard!$C$12:$C$19,MIN(8,INT((161-1)/60)+1))</f>
        <v/>
      </c>
      <c r="D165" s="29">
        <f>MIN(Dashboard!$C$9,INDEX(Settings!$B$19:$B$58,MIN(40,INT((161-1)/12)+1)))</f>
        <v/>
      </c>
      <c r="E165" s="29">
        <f>E164*(1+INDEX(Settings!$B$13:$B$16,MATCH(C165,Settings!$A$13:$A$16,0)))+D165</f>
        <v/>
      </c>
      <c r="F165" s="29">
        <f>F164*(1+INDEX(Settings!$G$13:$G$16,MATCH(C165,Settings!$A$13:$A$16,0)))+D165</f>
        <v/>
      </c>
      <c r="G165" s="29">
        <f>G164*(1+INDEX(Settings!$H$13:$H$16,MATCH(C165,Settings!$A$13:$A$16,0)))+D165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INDEX(Dashboard!$C$12:$C$19,MIN(8,INT((162-1)/60)+1))</f>
        <v/>
      </c>
      <c r="D166" s="29">
        <f>MIN(Dashboard!$C$9,INDEX(Settings!$B$19:$B$58,MIN(40,INT((162-1)/12)+1)))</f>
        <v/>
      </c>
      <c r="E166" s="29">
        <f>E165*(1+INDEX(Settings!$B$13:$B$16,MATCH(C166,Settings!$A$13:$A$16,0)))+D166</f>
        <v/>
      </c>
      <c r="F166" s="29">
        <f>F165*(1+INDEX(Settings!$G$13:$G$16,MATCH(C166,Settings!$A$13:$A$16,0)))+D166</f>
        <v/>
      </c>
      <c r="G166" s="29">
        <f>G165*(1+INDEX(Settings!$H$13:$H$16,MATCH(C166,Settings!$A$13:$A$16,0)))+D166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INDEX(Dashboard!$C$12:$C$19,MIN(8,INT((163-1)/60)+1))</f>
        <v/>
      </c>
      <c r="D167" s="29">
        <f>MIN(Dashboard!$C$9,INDEX(Settings!$B$19:$B$58,MIN(40,INT((163-1)/12)+1)))</f>
        <v/>
      </c>
      <c r="E167" s="29">
        <f>E166*(1+INDEX(Settings!$B$13:$B$16,MATCH(C167,Settings!$A$13:$A$16,0)))+D167</f>
        <v/>
      </c>
      <c r="F167" s="29">
        <f>F166*(1+INDEX(Settings!$G$13:$G$16,MATCH(C167,Settings!$A$13:$A$16,0)))+D167</f>
        <v/>
      </c>
      <c r="G167" s="29">
        <f>G166*(1+INDEX(Settings!$H$13:$H$16,MATCH(C167,Settings!$A$13:$A$16,0)))+D167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INDEX(Dashboard!$C$12:$C$19,MIN(8,INT((164-1)/60)+1))</f>
        <v/>
      </c>
      <c r="D168" s="29">
        <f>MIN(Dashboard!$C$9,INDEX(Settings!$B$19:$B$58,MIN(40,INT((164-1)/12)+1)))</f>
        <v/>
      </c>
      <c r="E168" s="29">
        <f>E167*(1+INDEX(Settings!$B$13:$B$16,MATCH(C168,Settings!$A$13:$A$16,0)))+D168</f>
        <v/>
      </c>
      <c r="F168" s="29">
        <f>F167*(1+INDEX(Settings!$G$13:$G$16,MATCH(C168,Settings!$A$13:$A$16,0)))+D168</f>
        <v/>
      </c>
      <c r="G168" s="29">
        <f>G167*(1+INDEX(Settings!$H$13:$H$16,MATCH(C168,Settings!$A$13:$A$16,0)))+D168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INDEX(Dashboard!$C$12:$C$19,MIN(8,INT((165-1)/60)+1))</f>
        <v/>
      </c>
      <c r="D169" s="29">
        <f>MIN(Dashboard!$C$9,INDEX(Settings!$B$19:$B$58,MIN(40,INT((165-1)/12)+1)))</f>
        <v/>
      </c>
      <c r="E169" s="29">
        <f>E168*(1+INDEX(Settings!$B$13:$B$16,MATCH(C169,Settings!$A$13:$A$16,0)))+D169</f>
        <v/>
      </c>
      <c r="F169" s="29">
        <f>F168*(1+INDEX(Settings!$G$13:$G$16,MATCH(C169,Settings!$A$13:$A$16,0)))+D169</f>
        <v/>
      </c>
      <c r="G169" s="29">
        <f>G168*(1+INDEX(Settings!$H$13:$H$16,MATCH(C169,Settings!$A$13:$A$16,0)))+D169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INDEX(Dashboard!$C$12:$C$19,MIN(8,INT((166-1)/60)+1))</f>
        <v/>
      </c>
      <c r="D170" s="29">
        <f>MIN(Dashboard!$C$9,INDEX(Settings!$B$19:$B$58,MIN(40,INT((166-1)/12)+1)))</f>
        <v/>
      </c>
      <c r="E170" s="29">
        <f>E169*(1+INDEX(Settings!$B$13:$B$16,MATCH(C170,Settings!$A$13:$A$16,0)))+D170</f>
        <v/>
      </c>
      <c r="F170" s="29">
        <f>F169*(1+INDEX(Settings!$G$13:$G$16,MATCH(C170,Settings!$A$13:$A$16,0)))+D170</f>
        <v/>
      </c>
      <c r="G170" s="29">
        <f>G169*(1+INDEX(Settings!$H$13:$H$16,MATCH(C170,Settings!$A$13:$A$16,0)))+D170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INDEX(Dashboard!$C$12:$C$19,MIN(8,INT((167-1)/60)+1))</f>
        <v/>
      </c>
      <c r="D171" s="29">
        <f>MIN(Dashboard!$C$9,INDEX(Settings!$B$19:$B$58,MIN(40,INT((167-1)/12)+1)))</f>
        <v/>
      </c>
      <c r="E171" s="29">
        <f>E170*(1+INDEX(Settings!$B$13:$B$16,MATCH(C171,Settings!$A$13:$A$16,0)))+D171</f>
        <v/>
      </c>
      <c r="F171" s="29">
        <f>F170*(1+INDEX(Settings!$G$13:$G$16,MATCH(C171,Settings!$A$13:$A$16,0)))+D171</f>
        <v/>
      </c>
      <c r="G171" s="29">
        <f>G170*(1+INDEX(Settings!$H$13:$H$16,MATCH(C171,Settings!$A$13:$A$16,0)))+D171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INDEX(Dashboard!$C$12:$C$19,MIN(8,INT((168-1)/60)+1))</f>
        <v/>
      </c>
      <c r="D172" s="29">
        <f>MIN(Dashboard!$C$9,INDEX(Settings!$B$19:$B$58,MIN(40,INT((168-1)/12)+1)))</f>
        <v/>
      </c>
      <c r="E172" s="29">
        <f>E171*(1+INDEX(Settings!$B$13:$B$16,MATCH(C172,Settings!$A$13:$A$16,0)))+D172</f>
        <v/>
      </c>
      <c r="F172" s="29">
        <f>F171*(1+INDEX(Settings!$G$13:$G$16,MATCH(C172,Settings!$A$13:$A$16,0)))+D172</f>
        <v/>
      </c>
      <c r="G172" s="29">
        <f>G171*(1+INDEX(Settings!$H$13:$H$16,MATCH(C172,Settings!$A$13:$A$16,0)))+D172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INDEX(Dashboard!$C$12:$C$19,MIN(8,INT((169-1)/60)+1))</f>
        <v/>
      </c>
      <c r="D173" s="29">
        <f>MIN(Dashboard!$C$9,INDEX(Settings!$B$19:$B$58,MIN(40,INT((169-1)/12)+1)))</f>
        <v/>
      </c>
      <c r="E173" s="29">
        <f>E172*(1+INDEX(Settings!$B$13:$B$16,MATCH(C173,Settings!$A$13:$A$16,0)))+D173</f>
        <v/>
      </c>
      <c r="F173" s="29">
        <f>F172*(1+INDEX(Settings!$G$13:$G$16,MATCH(C173,Settings!$A$13:$A$16,0)))+D173</f>
        <v/>
      </c>
      <c r="G173" s="29">
        <f>G172*(1+INDEX(Settings!$H$13:$H$16,MATCH(C173,Settings!$A$13:$A$16,0)))+D173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INDEX(Dashboard!$C$12:$C$19,MIN(8,INT((170-1)/60)+1))</f>
        <v/>
      </c>
      <c r="D174" s="29">
        <f>MIN(Dashboard!$C$9,INDEX(Settings!$B$19:$B$58,MIN(40,INT((170-1)/12)+1)))</f>
        <v/>
      </c>
      <c r="E174" s="29">
        <f>E173*(1+INDEX(Settings!$B$13:$B$16,MATCH(C174,Settings!$A$13:$A$16,0)))+D174</f>
        <v/>
      </c>
      <c r="F174" s="29">
        <f>F173*(1+INDEX(Settings!$G$13:$G$16,MATCH(C174,Settings!$A$13:$A$16,0)))+D174</f>
        <v/>
      </c>
      <c r="G174" s="29">
        <f>G173*(1+INDEX(Settings!$H$13:$H$16,MATCH(C174,Settings!$A$13:$A$16,0)))+D174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INDEX(Dashboard!$C$12:$C$19,MIN(8,INT((171-1)/60)+1))</f>
        <v/>
      </c>
      <c r="D175" s="29">
        <f>MIN(Dashboard!$C$9,INDEX(Settings!$B$19:$B$58,MIN(40,INT((171-1)/12)+1)))</f>
        <v/>
      </c>
      <c r="E175" s="29">
        <f>E174*(1+INDEX(Settings!$B$13:$B$16,MATCH(C175,Settings!$A$13:$A$16,0)))+D175</f>
        <v/>
      </c>
      <c r="F175" s="29">
        <f>F174*(1+INDEX(Settings!$G$13:$G$16,MATCH(C175,Settings!$A$13:$A$16,0)))+D175</f>
        <v/>
      </c>
      <c r="G175" s="29">
        <f>G174*(1+INDEX(Settings!$H$13:$H$16,MATCH(C175,Settings!$A$13:$A$16,0)))+D175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INDEX(Dashboard!$C$12:$C$19,MIN(8,INT((172-1)/60)+1))</f>
        <v/>
      </c>
      <c r="D176" s="29">
        <f>MIN(Dashboard!$C$9,INDEX(Settings!$B$19:$B$58,MIN(40,INT((172-1)/12)+1)))</f>
        <v/>
      </c>
      <c r="E176" s="29">
        <f>E175*(1+INDEX(Settings!$B$13:$B$16,MATCH(C176,Settings!$A$13:$A$16,0)))+D176</f>
        <v/>
      </c>
      <c r="F176" s="29">
        <f>F175*(1+INDEX(Settings!$G$13:$G$16,MATCH(C176,Settings!$A$13:$A$16,0)))+D176</f>
        <v/>
      </c>
      <c r="G176" s="29">
        <f>G175*(1+INDEX(Settings!$H$13:$H$16,MATCH(C176,Settings!$A$13:$A$16,0)))+D176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INDEX(Dashboard!$C$12:$C$19,MIN(8,INT((173-1)/60)+1))</f>
        <v/>
      </c>
      <c r="D177" s="29">
        <f>MIN(Dashboard!$C$9,INDEX(Settings!$B$19:$B$58,MIN(40,INT((173-1)/12)+1)))</f>
        <v/>
      </c>
      <c r="E177" s="29">
        <f>E176*(1+INDEX(Settings!$B$13:$B$16,MATCH(C177,Settings!$A$13:$A$16,0)))+D177</f>
        <v/>
      </c>
      <c r="F177" s="29">
        <f>F176*(1+INDEX(Settings!$G$13:$G$16,MATCH(C177,Settings!$A$13:$A$16,0)))+D177</f>
        <v/>
      </c>
      <c r="G177" s="29">
        <f>G176*(1+INDEX(Settings!$H$13:$H$16,MATCH(C177,Settings!$A$13:$A$16,0)))+D177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INDEX(Dashboard!$C$12:$C$19,MIN(8,INT((174-1)/60)+1))</f>
        <v/>
      </c>
      <c r="D178" s="29">
        <f>MIN(Dashboard!$C$9,INDEX(Settings!$B$19:$B$58,MIN(40,INT((174-1)/12)+1)))</f>
        <v/>
      </c>
      <c r="E178" s="29">
        <f>E177*(1+INDEX(Settings!$B$13:$B$16,MATCH(C178,Settings!$A$13:$A$16,0)))+D178</f>
        <v/>
      </c>
      <c r="F178" s="29">
        <f>F177*(1+INDEX(Settings!$G$13:$G$16,MATCH(C178,Settings!$A$13:$A$16,0)))+D178</f>
        <v/>
      </c>
      <c r="G178" s="29">
        <f>G177*(1+INDEX(Settings!$H$13:$H$16,MATCH(C178,Settings!$A$13:$A$16,0)))+D178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INDEX(Dashboard!$C$12:$C$19,MIN(8,INT((175-1)/60)+1))</f>
        <v/>
      </c>
      <c r="D179" s="29">
        <f>MIN(Dashboard!$C$9,INDEX(Settings!$B$19:$B$58,MIN(40,INT((175-1)/12)+1)))</f>
        <v/>
      </c>
      <c r="E179" s="29">
        <f>E178*(1+INDEX(Settings!$B$13:$B$16,MATCH(C179,Settings!$A$13:$A$16,0)))+D179</f>
        <v/>
      </c>
      <c r="F179" s="29">
        <f>F178*(1+INDEX(Settings!$G$13:$G$16,MATCH(C179,Settings!$A$13:$A$16,0)))+D179</f>
        <v/>
      </c>
      <c r="G179" s="29">
        <f>G178*(1+INDEX(Settings!$H$13:$H$16,MATCH(C179,Settings!$A$13:$A$16,0)))+D179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INDEX(Dashboard!$C$12:$C$19,MIN(8,INT((176-1)/60)+1))</f>
        <v/>
      </c>
      <c r="D180" s="29">
        <f>MIN(Dashboard!$C$9,INDEX(Settings!$B$19:$B$58,MIN(40,INT((176-1)/12)+1)))</f>
        <v/>
      </c>
      <c r="E180" s="29">
        <f>E179*(1+INDEX(Settings!$B$13:$B$16,MATCH(C180,Settings!$A$13:$A$16,0)))+D180</f>
        <v/>
      </c>
      <c r="F180" s="29">
        <f>F179*(1+INDEX(Settings!$G$13:$G$16,MATCH(C180,Settings!$A$13:$A$16,0)))+D180</f>
        <v/>
      </c>
      <c r="G180" s="29">
        <f>G179*(1+INDEX(Settings!$H$13:$H$16,MATCH(C180,Settings!$A$13:$A$16,0)))+D180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INDEX(Dashboard!$C$12:$C$19,MIN(8,INT((177-1)/60)+1))</f>
        <v/>
      </c>
      <c r="D181" s="29">
        <f>MIN(Dashboard!$C$9,INDEX(Settings!$B$19:$B$58,MIN(40,INT((177-1)/12)+1)))</f>
        <v/>
      </c>
      <c r="E181" s="29">
        <f>E180*(1+INDEX(Settings!$B$13:$B$16,MATCH(C181,Settings!$A$13:$A$16,0)))+D181</f>
        <v/>
      </c>
      <c r="F181" s="29">
        <f>F180*(1+INDEX(Settings!$G$13:$G$16,MATCH(C181,Settings!$A$13:$A$16,0)))+D181</f>
        <v/>
      </c>
      <c r="G181" s="29">
        <f>G180*(1+INDEX(Settings!$H$13:$H$16,MATCH(C181,Settings!$A$13:$A$16,0)))+D181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INDEX(Dashboard!$C$12:$C$19,MIN(8,INT((178-1)/60)+1))</f>
        <v/>
      </c>
      <c r="D182" s="29">
        <f>MIN(Dashboard!$C$9,INDEX(Settings!$B$19:$B$58,MIN(40,INT((178-1)/12)+1)))</f>
        <v/>
      </c>
      <c r="E182" s="29">
        <f>E181*(1+INDEX(Settings!$B$13:$B$16,MATCH(C182,Settings!$A$13:$A$16,0)))+D182</f>
        <v/>
      </c>
      <c r="F182" s="29">
        <f>F181*(1+INDEX(Settings!$G$13:$G$16,MATCH(C182,Settings!$A$13:$A$16,0)))+D182</f>
        <v/>
      </c>
      <c r="G182" s="29">
        <f>G181*(1+INDEX(Settings!$H$13:$H$16,MATCH(C182,Settings!$A$13:$A$16,0)))+D182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INDEX(Dashboard!$C$12:$C$19,MIN(8,INT((179-1)/60)+1))</f>
        <v/>
      </c>
      <c r="D183" s="29">
        <f>MIN(Dashboard!$C$9,INDEX(Settings!$B$19:$B$58,MIN(40,INT((179-1)/12)+1)))</f>
        <v/>
      </c>
      <c r="E183" s="29">
        <f>E182*(1+INDEX(Settings!$B$13:$B$16,MATCH(C183,Settings!$A$13:$A$16,0)))+D183</f>
        <v/>
      </c>
      <c r="F183" s="29">
        <f>F182*(1+INDEX(Settings!$G$13:$G$16,MATCH(C183,Settings!$A$13:$A$16,0)))+D183</f>
        <v/>
      </c>
      <c r="G183" s="29">
        <f>G182*(1+INDEX(Settings!$H$13:$H$16,MATCH(C183,Settings!$A$13:$A$16,0)))+D183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INDEX(Dashboard!$C$12:$C$19,MIN(8,INT((180-1)/60)+1))</f>
        <v/>
      </c>
      <c r="D184" s="29">
        <f>MIN(Dashboard!$C$9,INDEX(Settings!$B$19:$B$58,MIN(40,INT((180-1)/12)+1)))</f>
        <v/>
      </c>
      <c r="E184" s="29">
        <f>E183*(1+INDEX(Settings!$B$13:$B$16,MATCH(C184,Settings!$A$13:$A$16,0)))+D184</f>
        <v/>
      </c>
      <c r="F184" s="29">
        <f>F183*(1+INDEX(Settings!$G$13:$G$16,MATCH(C184,Settings!$A$13:$A$16,0)))+D184</f>
        <v/>
      </c>
      <c r="G184" s="29">
        <f>G183*(1+INDEX(Settings!$H$13:$H$16,MATCH(C184,Settings!$A$13:$A$16,0)))+D184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INDEX(Dashboard!$C$12:$C$19,MIN(8,INT((181-1)/60)+1))</f>
        <v/>
      </c>
      <c r="D185" s="29">
        <f>MIN(Dashboard!$C$9,INDEX(Settings!$B$19:$B$58,MIN(40,INT((181-1)/12)+1)))</f>
        <v/>
      </c>
      <c r="E185" s="29">
        <f>E184*(1+INDEX(Settings!$B$13:$B$16,MATCH(C185,Settings!$A$13:$A$16,0)))+D185</f>
        <v/>
      </c>
      <c r="F185" s="29">
        <f>F184*(1+INDEX(Settings!$G$13:$G$16,MATCH(C185,Settings!$A$13:$A$16,0)))+D185</f>
        <v/>
      </c>
      <c r="G185" s="29">
        <f>G184*(1+INDEX(Settings!$H$13:$H$16,MATCH(C185,Settings!$A$13:$A$16,0)))+D185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INDEX(Dashboard!$C$12:$C$19,MIN(8,INT((182-1)/60)+1))</f>
        <v/>
      </c>
      <c r="D186" s="29">
        <f>MIN(Dashboard!$C$9,INDEX(Settings!$B$19:$B$58,MIN(40,INT((182-1)/12)+1)))</f>
        <v/>
      </c>
      <c r="E186" s="29">
        <f>E185*(1+INDEX(Settings!$B$13:$B$16,MATCH(C186,Settings!$A$13:$A$16,0)))+D186</f>
        <v/>
      </c>
      <c r="F186" s="29">
        <f>F185*(1+INDEX(Settings!$G$13:$G$16,MATCH(C186,Settings!$A$13:$A$16,0)))+D186</f>
        <v/>
      </c>
      <c r="G186" s="29">
        <f>G185*(1+INDEX(Settings!$H$13:$H$16,MATCH(C186,Settings!$A$13:$A$16,0)))+D186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INDEX(Dashboard!$C$12:$C$19,MIN(8,INT((183-1)/60)+1))</f>
        <v/>
      </c>
      <c r="D187" s="29">
        <f>MIN(Dashboard!$C$9,INDEX(Settings!$B$19:$B$58,MIN(40,INT((183-1)/12)+1)))</f>
        <v/>
      </c>
      <c r="E187" s="29">
        <f>E186*(1+INDEX(Settings!$B$13:$B$16,MATCH(C187,Settings!$A$13:$A$16,0)))+D187</f>
        <v/>
      </c>
      <c r="F187" s="29">
        <f>F186*(1+INDEX(Settings!$G$13:$G$16,MATCH(C187,Settings!$A$13:$A$16,0)))+D187</f>
        <v/>
      </c>
      <c r="G187" s="29">
        <f>G186*(1+INDEX(Settings!$H$13:$H$16,MATCH(C187,Settings!$A$13:$A$16,0)))+D187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INDEX(Dashboard!$C$12:$C$19,MIN(8,INT((184-1)/60)+1))</f>
        <v/>
      </c>
      <c r="D188" s="29">
        <f>MIN(Dashboard!$C$9,INDEX(Settings!$B$19:$B$58,MIN(40,INT((184-1)/12)+1)))</f>
        <v/>
      </c>
      <c r="E188" s="29">
        <f>E187*(1+INDEX(Settings!$B$13:$B$16,MATCH(C188,Settings!$A$13:$A$16,0)))+D188</f>
        <v/>
      </c>
      <c r="F188" s="29">
        <f>F187*(1+INDEX(Settings!$G$13:$G$16,MATCH(C188,Settings!$A$13:$A$16,0)))+D188</f>
        <v/>
      </c>
      <c r="G188" s="29">
        <f>G187*(1+INDEX(Settings!$H$13:$H$16,MATCH(C188,Settings!$A$13:$A$16,0)))+D188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INDEX(Dashboard!$C$12:$C$19,MIN(8,INT((185-1)/60)+1))</f>
        <v/>
      </c>
      <c r="D189" s="29">
        <f>MIN(Dashboard!$C$9,INDEX(Settings!$B$19:$B$58,MIN(40,INT((185-1)/12)+1)))</f>
        <v/>
      </c>
      <c r="E189" s="29">
        <f>E188*(1+INDEX(Settings!$B$13:$B$16,MATCH(C189,Settings!$A$13:$A$16,0)))+D189</f>
        <v/>
      </c>
      <c r="F189" s="29">
        <f>F188*(1+INDEX(Settings!$G$13:$G$16,MATCH(C189,Settings!$A$13:$A$16,0)))+D189</f>
        <v/>
      </c>
      <c r="G189" s="29">
        <f>G188*(1+INDEX(Settings!$H$13:$H$16,MATCH(C189,Settings!$A$13:$A$16,0)))+D189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INDEX(Dashboard!$C$12:$C$19,MIN(8,INT((186-1)/60)+1))</f>
        <v/>
      </c>
      <c r="D190" s="29">
        <f>MIN(Dashboard!$C$9,INDEX(Settings!$B$19:$B$58,MIN(40,INT((186-1)/12)+1)))</f>
        <v/>
      </c>
      <c r="E190" s="29">
        <f>E189*(1+INDEX(Settings!$B$13:$B$16,MATCH(C190,Settings!$A$13:$A$16,0)))+D190</f>
        <v/>
      </c>
      <c r="F190" s="29">
        <f>F189*(1+INDEX(Settings!$G$13:$G$16,MATCH(C190,Settings!$A$13:$A$16,0)))+D190</f>
        <v/>
      </c>
      <c r="G190" s="29">
        <f>G189*(1+INDEX(Settings!$H$13:$H$16,MATCH(C190,Settings!$A$13:$A$16,0)))+D190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INDEX(Dashboard!$C$12:$C$19,MIN(8,INT((187-1)/60)+1))</f>
        <v/>
      </c>
      <c r="D191" s="29">
        <f>MIN(Dashboard!$C$9,INDEX(Settings!$B$19:$B$58,MIN(40,INT((187-1)/12)+1)))</f>
        <v/>
      </c>
      <c r="E191" s="29">
        <f>E190*(1+INDEX(Settings!$B$13:$B$16,MATCH(C191,Settings!$A$13:$A$16,0)))+D191</f>
        <v/>
      </c>
      <c r="F191" s="29">
        <f>F190*(1+INDEX(Settings!$G$13:$G$16,MATCH(C191,Settings!$A$13:$A$16,0)))+D191</f>
        <v/>
      </c>
      <c r="G191" s="29">
        <f>G190*(1+INDEX(Settings!$H$13:$H$16,MATCH(C191,Settings!$A$13:$A$16,0)))+D191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INDEX(Dashboard!$C$12:$C$19,MIN(8,INT((188-1)/60)+1))</f>
        <v/>
      </c>
      <c r="D192" s="29">
        <f>MIN(Dashboard!$C$9,INDEX(Settings!$B$19:$B$58,MIN(40,INT((188-1)/12)+1)))</f>
        <v/>
      </c>
      <c r="E192" s="29">
        <f>E191*(1+INDEX(Settings!$B$13:$B$16,MATCH(C192,Settings!$A$13:$A$16,0)))+D192</f>
        <v/>
      </c>
      <c r="F192" s="29">
        <f>F191*(1+INDEX(Settings!$G$13:$G$16,MATCH(C192,Settings!$A$13:$A$16,0)))+D192</f>
        <v/>
      </c>
      <c r="G192" s="29">
        <f>G191*(1+INDEX(Settings!$H$13:$H$16,MATCH(C192,Settings!$A$13:$A$16,0)))+D192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INDEX(Dashboard!$C$12:$C$19,MIN(8,INT((189-1)/60)+1))</f>
        <v/>
      </c>
      <c r="D193" s="29">
        <f>MIN(Dashboard!$C$9,INDEX(Settings!$B$19:$B$58,MIN(40,INT((189-1)/12)+1)))</f>
        <v/>
      </c>
      <c r="E193" s="29">
        <f>E192*(1+INDEX(Settings!$B$13:$B$16,MATCH(C193,Settings!$A$13:$A$16,0)))+D193</f>
        <v/>
      </c>
      <c r="F193" s="29">
        <f>F192*(1+INDEX(Settings!$G$13:$G$16,MATCH(C193,Settings!$A$13:$A$16,0)))+D193</f>
        <v/>
      </c>
      <c r="G193" s="29">
        <f>G192*(1+INDEX(Settings!$H$13:$H$16,MATCH(C193,Settings!$A$13:$A$16,0)))+D193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INDEX(Dashboard!$C$12:$C$19,MIN(8,INT((190-1)/60)+1))</f>
        <v/>
      </c>
      <c r="D194" s="29">
        <f>MIN(Dashboard!$C$9,INDEX(Settings!$B$19:$B$58,MIN(40,INT((190-1)/12)+1)))</f>
        <v/>
      </c>
      <c r="E194" s="29">
        <f>E193*(1+INDEX(Settings!$B$13:$B$16,MATCH(C194,Settings!$A$13:$A$16,0)))+D194</f>
        <v/>
      </c>
      <c r="F194" s="29">
        <f>F193*(1+INDEX(Settings!$G$13:$G$16,MATCH(C194,Settings!$A$13:$A$16,0)))+D194</f>
        <v/>
      </c>
      <c r="G194" s="29">
        <f>G193*(1+INDEX(Settings!$H$13:$H$16,MATCH(C194,Settings!$A$13:$A$16,0)))+D194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INDEX(Dashboard!$C$12:$C$19,MIN(8,INT((191-1)/60)+1))</f>
        <v/>
      </c>
      <c r="D195" s="29">
        <f>MIN(Dashboard!$C$9,INDEX(Settings!$B$19:$B$58,MIN(40,INT((191-1)/12)+1)))</f>
        <v/>
      </c>
      <c r="E195" s="29">
        <f>E194*(1+INDEX(Settings!$B$13:$B$16,MATCH(C195,Settings!$A$13:$A$16,0)))+D195</f>
        <v/>
      </c>
      <c r="F195" s="29">
        <f>F194*(1+INDEX(Settings!$G$13:$G$16,MATCH(C195,Settings!$A$13:$A$16,0)))+D195</f>
        <v/>
      </c>
      <c r="G195" s="29">
        <f>G194*(1+INDEX(Settings!$H$13:$H$16,MATCH(C195,Settings!$A$13:$A$16,0)))+D195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INDEX(Dashboard!$C$12:$C$19,MIN(8,INT((192-1)/60)+1))</f>
        <v/>
      </c>
      <c r="D196" s="29">
        <f>MIN(Dashboard!$C$9,INDEX(Settings!$B$19:$B$58,MIN(40,INT((192-1)/12)+1)))</f>
        <v/>
      </c>
      <c r="E196" s="29">
        <f>E195*(1+INDEX(Settings!$B$13:$B$16,MATCH(C196,Settings!$A$13:$A$16,0)))+D196</f>
        <v/>
      </c>
      <c r="F196" s="29">
        <f>F195*(1+INDEX(Settings!$G$13:$G$16,MATCH(C196,Settings!$A$13:$A$16,0)))+D196</f>
        <v/>
      </c>
      <c r="G196" s="29">
        <f>G195*(1+INDEX(Settings!$H$13:$H$16,MATCH(C196,Settings!$A$13:$A$16,0)))+D196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INDEX(Dashboard!$C$12:$C$19,MIN(8,INT((193-1)/60)+1))</f>
        <v/>
      </c>
      <c r="D197" s="29">
        <f>MIN(Dashboard!$C$9,INDEX(Settings!$B$19:$B$58,MIN(40,INT((193-1)/12)+1)))</f>
        <v/>
      </c>
      <c r="E197" s="29">
        <f>E196*(1+INDEX(Settings!$B$13:$B$16,MATCH(C197,Settings!$A$13:$A$16,0)))+D197</f>
        <v/>
      </c>
      <c r="F197" s="29">
        <f>F196*(1+INDEX(Settings!$G$13:$G$16,MATCH(C197,Settings!$A$13:$A$16,0)))+D197</f>
        <v/>
      </c>
      <c r="G197" s="29">
        <f>G196*(1+INDEX(Settings!$H$13:$H$16,MATCH(C197,Settings!$A$13:$A$16,0)))+D197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INDEX(Dashboard!$C$12:$C$19,MIN(8,INT((194-1)/60)+1))</f>
        <v/>
      </c>
      <c r="D198" s="29">
        <f>MIN(Dashboard!$C$9,INDEX(Settings!$B$19:$B$58,MIN(40,INT((194-1)/12)+1)))</f>
        <v/>
      </c>
      <c r="E198" s="29">
        <f>E197*(1+INDEX(Settings!$B$13:$B$16,MATCH(C198,Settings!$A$13:$A$16,0)))+D198</f>
        <v/>
      </c>
      <c r="F198" s="29">
        <f>F197*(1+INDEX(Settings!$G$13:$G$16,MATCH(C198,Settings!$A$13:$A$16,0)))+D198</f>
        <v/>
      </c>
      <c r="G198" s="29">
        <f>G197*(1+INDEX(Settings!$H$13:$H$16,MATCH(C198,Settings!$A$13:$A$16,0)))+D198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INDEX(Dashboard!$C$12:$C$19,MIN(8,INT((195-1)/60)+1))</f>
        <v/>
      </c>
      <c r="D199" s="29">
        <f>MIN(Dashboard!$C$9,INDEX(Settings!$B$19:$B$58,MIN(40,INT((195-1)/12)+1)))</f>
        <v/>
      </c>
      <c r="E199" s="29">
        <f>E198*(1+INDEX(Settings!$B$13:$B$16,MATCH(C199,Settings!$A$13:$A$16,0)))+D199</f>
        <v/>
      </c>
      <c r="F199" s="29">
        <f>F198*(1+INDEX(Settings!$G$13:$G$16,MATCH(C199,Settings!$A$13:$A$16,0)))+D199</f>
        <v/>
      </c>
      <c r="G199" s="29">
        <f>G198*(1+INDEX(Settings!$H$13:$H$16,MATCH(C199,Settings!$A$13:$A$16,0)))+D199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INDEX(Dashboard!$C$12:$C$19,MIN(8,INT((196-1)/60)+1))</f>
        <v/>
      </c>
      <c r="D200" s="29">
        <f>MIN(Dashboard!$C$9,INDEX(Settings!$B$19:$B$58,MIN(40,INT((196-1)/12)+1)))</f>
        <v/>
      </c>
      <c r="E200" s="29">
        <f>E199*(1+INDEX(Settings!$B$13:$B$16,MATCH(C200,Settings!$A$13:$A$16,0)))+D200</f>
        <v/>
      </c>
      <c r="F200" s="29">
        <f>F199*(1+INDEX(Settings!$G$13:$G$16,MATCH(C200,Settings!$A$13:$A$16,0)))+D200</f>
        <v/>
      </c>
      <c r="G200" s="29">
        <f>G199*(1+INDEX(Settings!$H$13:$H$16,MATCH(C200,Settings!$A$13:$A$16,0)))+D200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INDEX(Dashboard!$C$12:$C$19,MIN(8,INT((197-1)/60)+1))</f>
        <v/>
      </c>
      <c r="D201" s="29">
        <f>MIN(Dashboard!$C$9,INDEX(Settings!$B$19:$B$58,MIN(40,INT((197-1)/12)+1)))</f>
        <v/>
      </c>
      <c r="E201" s="29">
        <f>E200*(1+INDEX(Settings!$B$13:$B$16,MATCH(C201,Settings!$A$13:$A$16,0)))+D201</f>
        <v/>
      </c>
      <c r="F201" s="29">
        <f>F200*(1+INDEX(Settings!$G$13:$G$16,MATCH(C201,Settings!$A$13:$A$16,0)))+D201</f>
        <v/>
      </c>
      <c r="G201" s="29">
        <f>G200*(1+INDEX(Settings!$H$13:$H$16,MATCH(C201,Settings!$A$13:$A$16,0)))+D201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INDEX(Dashboard!$C$12:$C$19,MIN(8,INT((198-1)/60)+1))</f>
        <v/>
      </c>
      <c r="D202" s="29">
        <f>MIN(Dashboard!$C$9,INDEX(Settings!$B$19:$B$58,MIN(40,INT((198-1)/12)+1)))</f>
        <v/>
      </c>
      <c r="E202" s="29">
        <f>E201*(1+INDEX(Settings!$B$13:$B$16,MATCH(C202,Settings!$A$13:$A$16,0)))+D202</f>
        <v/>
      </c>
      <c r="F202" s="29">
        <f>F201*(1+INDEX(Settings!$G$13:$G$16,MATCH(C202,Settings!$A$13:$A$16,0)))+D202</f>
        <v/>
      </c>
      <c r="G202" s="29">
        <f>G201*(1+INDEX(Settings!$H$13:$H$16,MATCH(C202,Settings!$A$13:$A$16,0)))+D202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INDEX(Dashboard!$C$12:$C$19,MIN(8,INT((199-1)/60)+1))</f>
        <v/>
      </c>
      <c r="D203" s="29">
        <f>MIN(Dashboard!$C$9,INDEX(Settings!$B$19:$B$58,MIN(40,INT((199-1)/12)+1)))</f>
        <v/>
      </c>
      <c r="E203" s="29">
        <f>E202*(1+INDEX(Settings!$B$13:$B$16,MATCH(C203,Settings!$A$13:$A$16,0)))+D203</f>
        <v/>
      </c>
      <c r="F203" s="29">
        <f>F202*(1+INDEX(Settings!$G$13:$G$16,MATCH(C203,Settings!$A$13:$A$16,0)))+D203</f>
        <v/>
      </c>
      <c r="G203" s="29">
        <f>G202*(1+INDEX(Settings!$H$13:$H$16,MATCH(C203,Settings!$A$13:$A$16,0)))+D203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INDEX(Dashboard!$C$12:$C$19,MIN(8,INT((200-1)/60)+1))</f>
        <v/>
      </c>
      <c r="D204" s="29">
        <f>MIN(Dashboard!$C$9,INDEX(Settings!$B$19:$B$58,MIN(40,INT((200-1)/12)+1)))</f>
        <v/>
      </c>
      <c r="E204" s="29">
        <f>E203*(1+INDEX(Settings!$B$13:$B$16,MATCH(C204,Settings!$A$13:$A$16,0)))+D204</f>
        <v/>
      </c>
      <c r="F204" s="29">
        <f>F203*(1+INDEX(Settings!$G$13:$G$16,MATCH(C204,Settings!$A$13:$A$16,0)))+D204</f>
        <v/>
      </c>
      <c r="G204" s="29">
        <f>G203*(1+INDEX(Settings!$H$13:$H$16,MATCH(C204,Settings!$A$13:$A$16,0)))+D204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INDEX(Dashboard!$C$12:$C$19,MIN(8,INT((201-1)/60)+1))</f>
        <v/>
      </c>
      <c r="D205" s="29">
        <f>MIN(Dashboard!$C$9,INDEX(Settings!$B$19:$B$58,MIN(40,INT((201-1)/12)+1)))</f>
        <v/>
      </c>
      <c r="E205" s="29">
        <f>E204*(1+INDEX(Settings!$B$13:$B$16,MATCH(C205,Settings!$A$13:$A$16,0)))+D205</f>
        <v/>
      </c>
      <c r="F205" s="29">
        <f>F204*(1+INDEX(Settings!$G$13:$G$16,MATCH(C205,Settings!$A$13:$A$16,0)))+D205</f>
        <v/>
      </c>
      <c r="G205" s="29">
        <f>G204*(1+INDEX(Settings!$H$13:$H$16,MATCH(C205,Settings!$A$13:$A$16,0)))+D205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INDEX(Dashboard!$C$12:$C$19,MIN(8,INT((202-1)/60)+1))</f>
        <v/>
      </c>
      <c r="D206" s="29">
        <f>MIN(Dashboard!$C$9,INDEX(Settings!$B$19:$B$58,MIN(40,INT((202-1)/12)+1)))</f>
        <v/>
      </c>
      <c r="E206" s="29">
        <f>E205*(1+INDEX(Settings!$B$13:$B$16,MATCH(C206,Settings!$A$13:$A$16,0)))+D206</f>
        <v/>
      </c>
      <c r="F206" s="29">
        <f>F205*(1+INDEX(Settings!$G$13:$G$16,MATCH(C206,Settings!$A$13:$A$16,0)))+D206</f>
        <v/>
      </c>
      <c r="G206" s="29">
        <f>G205*(1+INDEX(Settings!$H$13:$H$16,MATCH(C206,Settings!$A$13:$A$16,0)))+D206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INDEX(Dashboard!$C$12:$C$19,MIN(8,INT((203-1)/60)+1))</f>
        <v/>
      </c>
      <c r="D207" s="29">
        <f>MIN(Dashboard!$C$9,INDEX(Settings!$B$19:$B$58,MIN(40,INT((203-1)/12)+1)))</f>
        <v/>
      </c>
      <c r="E207" s="29">
        <f>E206*(1+INDEX(Settings!$B$13:$B$16,MATCH(C207,Settings!$A$13:$A$16,0)))+D207</f>
        <v/>
      </c>
      <c r="F207" s="29">
        <f>F206*(1+INDEX(Settings!$G$13:$G$16,MATCH(C207,Settings!$A$13:$A$16,0)))+D207</f>
        <v/>
      </c>
      <c r="G207" s="29">
        <f>G206*(1+INDEX(Settings!$H$13:$H$16,MATCH(C207,Settings!$A$13:$A$16,0)))+D207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INDEX(Dashboard!$C$12:$C$19,MIN(8,INT((204-1)/60)+1))</f>
        <v/>
      </c>
      <c r="D208" s="29">
        <f>MIN(Dashboard!$C$9,INDEX(Settings!$B$19:$B$58,MIN(40,INT((204-1)/12)+1)))</f>
        <v/>
      </c>
      <c r="E208" s="29">
        <f>E207*(1+INDEX(Settings!$B$13:$B$16,MATCH(C208,Settings!$A$13:$A$16,0)))+D208</f>
        <v/>
      </c>
      <c r="F208" s="29">
        <f>F207*(1+INDEX(Settings!$G$13:$G$16,MATCH(C208,Settings!$A$13:$A$16,0)))+D208</f>
        <v/>
      </c>
      <c r="G208" s="29">
        <f>G207*(1+INDEX(Settings!$H$13:$H$16,MATCH(C208,Settings!$A$13:$A$16,0)))+D208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INDEX(Dashboard!$C$12:$C$19,MIN(8,INT((205-1)/60)+1))</f>
        <v/>
      </c>
      <c r="D209" s="29">
        <f>MIN(Dashboard!$C$9,INDEX(Settings!$B$19:$B$58,MIN(40,INT((205-1)/12)+1)))</f>
        <v/>
      </c>
      <c r="E209" s="29">
        <f>E208*(1+INDEX(Settings!$B$13:$B$16,MATCH(C209,Settings!$A$13:$A$16,0)))+D209</f>
        <v/>
      </c>
      <c r="F209" s="29">
        <f>F208*(1+INDEX(Settings!$G$13:$G$16,MATCH(C209,Settings!$A$13:$A$16,0)))+D209</f>
        <v/>
      </c>
      <c r="G209" s="29">
        <f>G208*(1+INDEX(Settings!$H$13:$H$16,MATCH(C209,Settings!$A$13:$A$16,0)))+D209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INDEX(Dashboard!$C$12:$C$19,MIN(8,INT((206-1)/60)+1))</f>
        <v/>
      </c>
      <c r="D210" s="29">
        <f>MIN(Dashboard!$C$9,INDEX(Settings!$B$19:$B$58,MIN(40,INT((206-1)/12)+1)))</f>
        <v/>
      </c>
      <c r="E210" s="29">
        <f>E209*(1+INDEX(Settings!$B$13:$B$16,MATCH(C210,Settings!$A$13:$A$16,0)))+D210</f>
        <v/>
      </c>
      <c r="F210" s="29">
        <f>F209*(1+INDEX(Settings!$G$13:$G$16,MATCH(C210,Settings!$A$13:$A$16,0)))+D210</f>
        <v/>
      </c>
      <c r="G210" s="29">
        <f>G209*(1+INDEX(Settings!$H$13:$H$16,MATCH(C210,Settings!$A$13:$A$16,0)))+D210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INDEX(Dashboard!$C$12:$C$19,MIN(8,INT((207-1)/60)+1))</f>
        <v/>
      </c>
      <c r="D211" s="29">
        <f>MIN(Dashboard!$C$9,INDEX(Settings!$B$19:$B$58,MIN(40,INT((207-1)/12)+1)))</f>
        <v/>
      </c>
      <c r="E211" s="29">
        <f>E210*(1+INDEX(Settings!$B$13:$B$16,MATCH(C211,Settings!$A$13:$A$16,0)))+D211</f>
        <v/>
      </c>
      <c r="F211" s="29">
        <f>F210*(1+INDEX(Settings!$G$13:$G$16,MATCH(C211,Settings!$A$13:$A$16,0)))+D211</f>
        <v/>
      </c>
      <c r="G211" s="29">
        <f>G210*(1+INDEX(Settings!$H$13:$H$16,MATCH(C211,Settings!$A$13:$A$16,0)))+D211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INDEX(Dashboard!$C$12:$C$19,MIN(8,INT((208-1)/60)+1))</f>
        <v/>
      </c>
      <c r="D212" s="29">
        <f>MIN(Dashboard!$C$9,INDEX(Settings!$B$19:$B$58,MIN(40,INT((208-1)/12)+1)))</f>
        <v/>
      </c>
      <c r="E212" s="29">
        <f>E211*(1+INDEX(Settings!$B$13:$B$16,MATCH(C212,Settings!$A$13:$A$16,0)))+D212</f>
        <v/>
      </c>
      <c r="F212" s="29">
        <f>F211*(1+INDEX(Settings!$G$13:$G$16,MATCH(C212,Settings!$A$13:$A$16,0)))+D212</f>
        <v/>
      </c>
      <c r="G212" s="29">
        <f>G211*(1+INDEX(Settings!$H$13:$H$16,MATCH(C212,Settings!$A$13:$A$16,0)))+D212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INDEX(Dashboard!$C$12:$C$19,MIN(8,INT((209-1)/60)+1))</f>
        <v/>
      </c>
      <c r="D213" s="29">
        <f>MIN(Dashboard!$C$9,INDEX(Settings!$B$19:$B$58,MIN(40,INT((209-1)/12)+1)))</f>
        <v/>
      </c>
      <c r="E213" s="29">
        <f>E212*(1+INDEX(Settings!$B$13:$B$16,MATCH(C213,Settings!$A$13:$A$16,0)))+D213</f>
        <v/>
      </c>
      <c r="F213" s="29">
        <f>F212*(1+INDEX(Settings!$G$13:$G$16,MATCH(C213,Settings!$A$13:$A$16,0)))+D213</f>
        <v/>
      </c>
      <c r="G213" s="29">
        <f>G212*(1+INDEX(Settings!$H$13:$H$16,MATCH(C213,Settings!$A$13:$A$16,0)))+D213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INDEX(Dashboard!$C$12:$C$19,MIN(8,INT((210-1)/60)+1))</f>
        <v/>
      </c>
      <c r="D214" s="29">
        <f>MIN(Dashboard!$C$9,INDEX(Settings!$B$19:$B$58,MIN(40,INT((210-1)/12)+1)))</f>
        <v/>
      </c>
      <c r="E214" s="29">
        <f>E213*(1+INDEX(Settings!$B$13:$B$16,MATCH(C214,Settings!$A$13:$A$16,0)))+D214</f>
        <v/>
      </c>
      <c r="F214" s="29">
        <f>F213*(1+INDEX(Settings!$G$13:$G$16,MATCH(C214,Settings!$A$13:$A$16,0)))+D214</f>
        <v/>
      </c>
      <c r="G214" s="29">
        <f>G213*(1+INDEX(Settings!$H$13:$H$16,MATCH(C214,Settings!$A$13:$A$16,0)))+D214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INDEX(Dashboard!$C$12:$C$19,MIN(8,INT((211-1)/60)+1))</f>
        <v/>
      </c>
      <c r="D215" s="29">
        <f>MIN(Dashboard!$C$9,INDEX(Settings!$B$19:$B$58,MIN(40,INT((211-1)/12)+1)))</f>
        <v/>
      </c>
      <c r="E215" s="29">
        <f>E214*(1+INDEX(Settings!$B$13:$B$16,MATCH(C215,Settings!$A$13:$A$16,0)))+D215</f>
        <v/>
      </c>
      <c r="F215" s="29">
        <f>F214*(1+INDEX(Settings!$G$13:$G$16,MATCH(C215,Settings!$A$13:$A$16,0)))+D215</f>
        <v/>
      </c>
      <c r="G215" s="29">
        <f>G214*(1+INDEX(Settings!$H$13:$H$16,MATCH(C215,Settings!$A$13:$A$16,0)))+D215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INDEX(Dashboard!$C$12:$C$19,MIN(8,INT((212-1)/60)+1))</f>
        <v/>
      </c>
      <c r="D216" s="29">
        <f>MIN(Dashboard!$C$9,INDEX(Settings!$B$19:$B$58,MIN(40,INT((212-1)/12)+1)))</f>
        <v/>
      </c>
      <c r="E216" s="29">
        <f>E215*(1+INDEX(Settings!$B$13:$B$16,MATCH(C216,Settings!$A$13:$A$16,0)))+D216</f>
        <v/>
      </c>
      <c r="F216" s="29">
        <f>F215*(1+INDEX(Settings!$G$13:$G$16,MATCH(C216,Settings!$A$13:$A$16,0)))+D216</f>
        <v/>
      </c>
      <c r="G216" s="29">
        <f>G215*(1+INDEX(Settings!$H$13:$H$16,MATCH(C216,Settings!$A$13:$A$16,0)))+D216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INDEX(Dashboard!$C$12:$C$19,MIN(8,INT((213-1)/60)+1))</f>
        <v/>
      </c>
      <c r="D217" s="29">
        <f>MIN(Dashboard!$C$9,INDEX(Settings!$B$19:$B$58,MIN(40,INT((213-1)/12)+1)))</f>
        <v/>
      </c>
      <c r="E217" s="29">
        <f>E216*(1+INDEX(Settings!$B$13:$B$16,MATCH(C217,Settings!$A$13:$A$16,0)))+D217</f>
        <v/>
      </c>
      <c r="F217" s="29">
        <f>F216*(1+INDEX(Settings!$G$13:$G$16,MATCH(C217,Settings!$A$13:$A$16,0)))+D217</f>
        <v/>
      </c>
      <c r="G217" s="29">
        <f>G216*(1+INDEX(Settings!$H$13:$H$16,MATCH(C217,Settings!$A$13:$A$16,0)))+D217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INDEX(Dashboard!$C$12:$C$19,MIN(8,INT((214-1)/60)+1))</f>
        <v/>
      </c>
      <c r="D218" s="29">
        <f>MIN(Dashboard!$C$9,INDEX(Settings!$B$19:$B$58,MIN(40,INT((214-1)/12)+1)))</f>
        <v/>
      </c>
      <c r="E218" s="29">
        <f>E217*(1+INDEX(Settings!$B$13:$B$16,MATCH(C218,Settings!$A$13:$A$16,0)))+D218</f>
        <v/>
      </c>
      <c r="F218" s="29">
        <f>F217*(1+INDEX(Settings!$G$13:$G$16,MATCH(C218,Settings!$A$13:$A$16,0)))+D218</f>
        <v/>
      </c>
      <c r="G218" s="29">
        <f>G217*(1+INDEX(Settings!$H$13:$H$16,MATCH(C218,Settings!$A$13:$A$16,0)))+D218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INDEX(Dashboard!$C$12:$C$19,MIN(8,INT((215-1)/60)+1))</f>
        <v/>
      </c>
      <c r="D219" s="29">
        <f>MIN(Dashboard!$C$9,INDEX(Settings!$B$19:$B$58,MIN(40,INT((215-1)/12)+1)))</f>
        <v/>
      </c>
      <c r="E219" s="29">
        <f>E218*(1+INDEX(Settings!$B$13:$B$16,MATCH(C219,Settings!$A$13:$A$16,0)))+D219</f>
        <v/>
      </c>
      <c r="F219" s="29">
        <f>F218*(1+INDEX(Settings!$G$13:$G$16,MATCH(C219,Settings!$A$13:$A$16,0)))+D219</f>
        <v/>
      </c>
      <c r="G219" s="29">
        <f>G218*(1+INDEX(Settings!$H$13:$H$16,MATCH(C219,Settings!$A$13:$A$16,0)))+D219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INDEX(Dashboard!$C$12:$C$19,MIN(8,INT((216-1)/60)+1))</f>
        <v/>
      </c>
      <c r="D220" s="29">
        <f>MIN(Dashboard!$C$9,INDEX(Settings!$B$19:$B$58,MIN(40,INT((216-1)/12)+1)))</f>
        <v/>
      </c>
      <c r="E220" s="29">
        <f>E219*(1+INDEX(Settings!$B$13:$B$16,MATCH(C220,Settings!$A$13:$A$16,0)))+D220</f>
        <v/>
      </c>
      <c r="F220" s="29">
        <f>F219*(1+INDEX(Settings!$G$13:$G$16,MATCH(C220,Settings!$A$13:$A$16,0)))+D220</f>
        <v/>
      </c>
      <c r="G220" s="29">
        <f>G219*(1+INDEX(Settings!$H$13:$H$16,MATCH(C220,Settings!$A$13:$A$16,0)))+D220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INDEX(Dashboard!$C$12:$C$19,MIN(8,INT((217-1)/60)+1))</f>
        <v/>
      </c>
      <c r="D221" s="29">
        <f>MIN(Dashboard!$C$9,INDEX(Settings!$B$19:$B$58,MIN(40,INT((217-1)/12)+1)))</f>
        <v/>
      </c>
      <c r="E221" s="29">
        <f>E220*(1+INDEX(Settings!$B$13:$B$16,MATCH(C221,Settings!$A$13:$A$16,0)))+D221</f>
        <v/>
      </c>
      <c r="F221" s="29">
        <f>F220*(1+INDEX(Settings!$G$13:$G$16,MATCH(C221,Settings!$A$13:$A$16,0)))+D221</f>
        <v/>
      </c>
      <c r="G221" s="29">
        <f>G220*(1+INDEX(Settings!$H$13:$H$16,MATCH(C221,Settings!$A$13:$A$16,0)))+D221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INDEX(Dashboard!$C$12:$C$19,MIN(8,INT((218-1)/60)+1))</f>
        <v/>
      </c>
      <c r="D222" s="29">
        <f>MIN(Dashboard!$C$9,INDEX(Settings!$B$19:$B$58,MIN(40,INT((218-1)/12)+1)))</f>
        <v/>
      </c>
      <c r="E222" s="29">
        <f>E221*(1+INDEX(Settings!$B$13:$B$16,MATCH(C222,Settings!$A$13:$A$16,0)))+D222</f>
        <v/>
      </c>
      <c r="F222" s="29">
        <f>F221*(1+INDEX(Settings!$G$13:$G$16,MATCH(C222,Settings!$A$13:$A$16,0)))+D222</f>
        <v/>
      </c>
      <c r="G222" s="29">
        <f>G221*(1+INDEX(Settings!$H$13:$H$16,MATCH(C222,Settings!$A$13:$A$16,0)))+D222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INDEX(Dashboard!$C$12:$C$19,MIN(8,INT((219-1)/60)+1))</f>
        <v/>
      </c>
      <c r="D223" s="29">
        <f>MIN(Dashboard!$C$9,INDEX(Settings!$B$19:$B$58,MIN(40,INT((219-1)/12)+1)))</f>
        <v/>
      </c>
      <c r="E223" s="29">
        <f>E222*(1+INDEX(Settings!$B$13:$B$16,MATCH(C223,Settings!$A$13:$A$16,0)))+D223</f>
        <v/>
      </c>
      <c r="F223" s="29">
        <f>F222*(1+INDEX(Settings!$G$13:$G$16,MATCH(C223,Settings!$A$13:$A$16,0)))+D223</f>
        <v/>
      </c>
      <c r="G223" s="29">
        <f>G222*(1+INDEX(Settings!$H$13:$H$16,MATCH(C223,Settings!$A$13:$A$16,0)))+D223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INDEX(Dashboard!$C$12:$C$19,MIN(8,INT((220-1)/60)+1))</f>
        <v/>
      </c>
      <c r="D224" s="29">
        <f>MIN(Dashboard!$C$9,INDEX(Settings!$B$19:$B$58,MIN(40,INT((220-1)/12)+1)))</f>
        <v/>
      </c>
      <c r="E224" s="29">
        <f>E223*(1+INDEX(Settings!$B$13:$B$16,MATCH(C224,Settings!$A$13:$A$16,0)))+D224</f>
        <v/>
      </c>
      <c r="F224" s="29">
        <f>F223*(1+INDEX(Settings!$G$13:$G$16,MATCH(C224,Settings!$A$13:$A$16,0)))+D224</f>
        <v/>
      </c>
      <c r="G224" s="29">
        <f>G223*(1+INDEX(Settings!$H$13:$H$16,MATCH(C224,Settings!$A$13:$A$16,0)))+D224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INDEX(Dashboard!$C$12:$C$19,MIN(8,INT((221-1)/60)+1))</f>
        <v/>
      </c>
      <c r="D225" s="29">
        <f>MIN(Dashboard!$C$9,INDEX(Settings!$B$19:$B$58,MIN(40,INT((221-1)/12)+1)))</f>
        <v/>
      </c>
      <c r="E225" s="29">
        <f>E224*(1+INDEX(Settings!$B$13:$B$16,MATCH(C225,Settings!$A$13:$A$16,0)))+D225</f>
        <v/>
      </c>
      <c r="F225" s="29">
        <f>F224*(1+INDEX(Settings!$G$13:$G$16,MATCH(C225,Settings!$A$13:$A$16,0)))+D225</f>
        <v/>
      </c>
      <c r="G225" s="29">
        <f>G224*(1+INDEX(Settings!$H$13:$H$16,MATCH(C225,Settings!$A$13:$A$16,0)))+D225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INDEX(Dashboard!$C$12:$C$19,MIN(8,INT((222-1)/60)+1))</f>
        <v/>
      </c>
      <c r="D226" s="29">
        <f>MIN(Dashboard!$C$9,INDEX(Settings!$B$19:$B$58,MIN(40,INT((222-1)/12)+1)))</f>
        <v/>
      </c>
      <c r="E226" s="29">
        <f>E225*(1+INDEX(Settings!$B$13:$B$16,MATCH(C226,Settings!$A$13:$A$16,0)))+D226</f>
        <v/>
      </c>
      <c r="F226" s="29">
        <f>F225*(1+INDEX(Settings!$G$13:$G$16,MATCH(C226,Settings!$A$13:$A$16,0)))+D226</f>
        <v/>
      </c>
      <c r="G226" s="29">
        <f>G225*(1+INDEX(Settings!$H$13:$H$16,MATCH(C226,Settings!$A$13:$A$16,0)))+D226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INDEX(Dashboard!$C$12:$C$19,MIN(8,INT((223-1)/60)+1))</f>
        <v/>
      </c>
      <c r="D227" s="29">
        <f>MIN(Dashboard!$C$9,INDEX(Settings!$B$19:$B$58,MIN(40,INT((223-1)/12)+1)))</f>
        <v/>
      </c>
      <c r="E227" s="29">
        <f>E226*(1+INDEX(Settings!$B$13:$B$16,MATCH(C227,Settings!$A$13:$A$16,0)))+D227</f>
        <v/>
      </c>
      <c r="F227" s="29">
        <f>F226*(1+INDEX(Settings!$G$13:$G$16,MATCH(C227,Settings!$A$13:$A$16,0)))+D227</f>
        <v/>
      </c>
      <c r="G227" s="29">
        <f>G226*(1+INDEX(Settings!$H$13:$H$16,MATCH(C227,Settings!$A$13:$A$16,0)))+D227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INDEX(Dashboard!$C$12:$C$19,MIN(8,INT((224-1)/60)+1))</f>
        <v/>
      </c>
      <c r="D228" s="29">
        <f>MIN(Dashboard!$C$9,INDEX(Settings!$B$19:$B$58,MIN(40,INT((224-1)/12)+1)))</f>
        <v/>
      </c>
      <c r="E228" s="29">
        <f>E227*(1+INDEX(Settings!$B$13:$B$16,MATCH(C228,Settings!$A$13:$A$16,0)))+D228</f>
        <v/>
      </c>
      <c r="F228" s="29">
        <f>F227*(1+INDEX(Settings!$G$13:$G$16,MATCH(C228,Settings!$A$13:$A$16,0)))+D228</f>
        <v/>
      </c>
      <c r="G228" s="29">
        <f>G227*(1+INDEX(Settings!$H$13:$H$16,MATCH(C228,Settings!$A$13:$A$16,0)))+D228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INDEX(Dashboard!$C$12:$C$19,MIN(8,INT((225-1)/60)+1))</f>
        <v/>
      </c>
      <c r="D229" s="29">
        <f>MIN(Dashboard!$C$9,INDEX(Settings!$B$19:$B$58,MIN(40,INT((225-1)/12)+1)))</f>
        <v/>
      </c>
      <c r="E229" s="29">
        <f>E228*(1+INDEX(Settings!$B$13:$B$16,MATCH(C229,Settings!$A$13:$A$16,0)))+D229</f>
        <v/>
      </c>
      <c r="F229" s="29">
        <f>F228*(1+INDEX(Settings!$G$13:$G$16,MATCH(C229,Settings!$A$13:$A$16,0)))+D229</f>
        <v/>
      </c>
      <c r="G229" s="29">
        <f>G228*(1+INDEX(Settings!$H$13:$H$16,MATCH(C229,Settings!$A$13:$A$16,0)))+D229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INDEX(Dashboard!$C$12:$C$19,MIN(8,INT((226-1)/60)+1))</f>
        <v/>
      </c>
      <c r="D230" s="29">
        <f>MIN(Dashboard!$C$9,INDEX(Settings!$B$19:$B$58,MIN(40,INT((226-1)/12)+1)))</f>
        <v/>
      </c>
      <c r="E230" s="29">
        <f>E229*(1+INDEX(Settings!$B$13:$B$16,MATCH(C230,Settings!$A$13:$A$16,0)))+D230</f>
        <v/>
      </c>
      <c r="F230" s="29">
        <f>F229*(1+INDEX(Settings!$G$13:$G$16,MATCH(C230,Settings!$A$13:$A$16,0)))+D230</f>
        <v/>
      </c>
      <c r="G230" s="29">
        <f>G229*(1+INDEX(Settings!$H$13:$H$16,MATCH(C230,Settings!$A$13:$A$16,0)))+D230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INDEX(Dashboard!$C$12:$C$19,MIN(8,INT((227-1)/60)+1))</f>
        <v/>
      </c>
      <c r="D231" s="29">
        <f>MIN(Dashboard!$C$9,INDEX(Settings!$B$19:$B$58,MIN(40,INT((227-1)/12)+1)))</f>
        <v/>
      </c>
      <c r="E231" s="29">
        <f>E230*(1+INDEX(Settings!$B$13:$B$16,MATCH(C231,Settings!$A$13:$A$16,0)))+D231</f>
        <v/>
      </c>
      <c r="F231" s="29">
        <f>F230*(1+INDEX(Settings!$G$13:$G$16,MATCH(C231,Settings!$A$13:$A$16,0)))+D231</f>
        <v/>
      </c>
      <c r="G231" s="29">
        <f>G230*(1+INDEX(Settings!$H$13:$H$16,MATCH(C231,Settings!$A$13:$A$16,0)))+D231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INDEX(Dashboard!$C$12:$C$19,MIN(8,INT((228-1)/60)+1))</f>
        <v/>
      </c>
      <c r="D232" s="29">
        <f>MIN(Dashboard!$C$9,INDEX(Settings!$B$19:$B$58,MIN(40,INT((228-1)/12)+1)))</f>
        <v/>
      </c>
      <c r="E232" s="29">
        <f>E231*(1+INDEX(Settings!$B$13:$B$16,MATCH(C232,Settings!$A$13:$A$16,0)))+D232</f>
        <v/>
      </c>
      <c r="F232" s="29">
        <f>F231*(1+INDEX(Settings!$G$13:$G$16,MATCH(C232,Settings!$A$13:$A$16,0)))+D232</f>
        <v/>
      </c>
      <c r="G232" s="29">
        <f>G231*(1+INDEX(Settings!$H$13:$H$16,MATCH(C232,Settings!$A$13:$A$16,0)))+D232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INDEX(Dashboard!$C$12:$C$19,MIN(8,INT((229-1)/60)+1))</f>
        <v/>
      </c>
      <c r="D233" s="29">
        <f>MIN(Dashboard!$C$9,INDEX(Settings!$B$19:$B$58,MIN(40,INT((229-1)/12)+1)))</f>
        <v/>
      </c>
      <c r="E233" s="29">
        <f>E232*(1+INDEX(Settings!$B$13:$B$16,MATCH(C233,Settings!$A$13:$A$16,0)))+D233</f>
        <v/>
      </c>
      <c r="F233" s="29">
        <f>F232*(1+INDEX(Settings!$G$13:$G$16,MATCH(C233,Settings!$A$13:$A$16,0)))+D233</f>
        <v/>
      </c>
      <c r="G233" s="29">
        <f>G232*(1+INDEX(Settings!$H$13:$H$16,MATCH(C233,Settings!$A$13:$A$16,0)))+D233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INDEX(Dashboard!$C$12:$C$19,MIN(8,INT((230-1)/60)+1))</f>
        <v/>
      </c>
      <c r="D234" s="29">
        <f>MIN(Dashboard!$C$9,INDEX(Settings!$B$19:$B$58,MIN(40,INT((230-1)/12)+1)))</f>
        <v/>
      </c>
      <c r="E234" s="29">
        <f>E233*(1+INDEX(Settings!$B$13:$B$16,MATCH(C234,Settings!$A$13:$A$16,0)))+D234</f>
        <v/>
      </c>
      <c r="F234" s="29">
        <f>F233*(1+INDEX(Settings!$G$13:$G$16,MATCH(C234,Settings!$A$13:$A$16,0)))+D234</f>
        <v/>
      </c>
      <c r="G234" s="29">
        <f>G233*(1+INDEX(Settings!$H$13:$H$16,MATCH(C234,Settings!$A$13:$A$16,0)))+D234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INDEX(Dashboard!$C$12:$C$19,MIN(8,INT((231-1)/60)+1))</f>
        <v/>
      </c>
      <c r="D235" s="29">
        <f>MIN(Dashboard!$C$9,INDEX(Settings!$B$19:$B$58,MIN(40,INT((231-1)/12)+1)))</f>
        <v/>
      </c>
      <c r="E235" s="29">
        <f>E234*(1+INDEX(Settings!$B$13:$B$16,MATCH(C235,Settings!$A$13:$A$16,0)))+D235</f>
        <v/>
      </c>
      <c r="F235" s="29">
        <f>F234*(1+INDEX(Settings!$G$13:$G$16,MATCH(C235,Settings!$A$13:$A$16,0)))+D235</f>
        <v/>
      </c>
      <c r="G235" s="29">
        <f>G234*(1+INDEX(Settings!$H$13:$H$16,MATCH(C235,Settings!$A$13:$A$16,0)))+D235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INDEX(Dashboard!$C$12:$C$19,MIN(8,INT((232-1)/60)+1))</f>
        <v/>
      </c>
      <c r="D236" s="29">
        <f>MIN(Dashboard!$C$9,INDEX(Settings!$B$19:$B$58,MIN(40,INT((232-1)/12)+1)))</f>
        <v/>
      </c>
      <c r="E236" s="29">
        <f>E235*(1+INDEX(Settings!$B$13:$B$16,MATCH(C236,Settings!$A$13:$A$16,0)))+D236</f>
        <v/>
      </c>
      <c r="F236" s="29">
        <f>F235*(1+INDEX(Settings!$G$13:$G$16,MATCH(C236,Settings!$A$13:$A$16,0)))+D236</f>
        <v/>
      </c>
      <c r="G236" s="29">
        <f>G235*(1+INDEX(Settings!$H$13:$H$16,MATCH(C236,Settings!$A$13:$A$16,0)))+D236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INDEX(Dashboard!$C$12:$C$19,MIN(8,INT((233-1)/60)+1))</f>
        <v/>
      </c>
      <c r="D237" s="29">
        <f>MIN(Dashboard!$C$9,INDEX(Settings!$B$19:$B$58,MIN(40,INT((233-1)/12)+1)))</f>
        <v/>
      </c>
      <c r="E237" s="29">
        <f>E236*(1+INDEX(Settings!$B$13:$B$16,MATCH(C237,Settings!$A$13:$A$16,0)))+D237</f>
        <v/>
      </c>
      <c r="F237" s="29">
        <f>F236*(1+INDEX(Settings!$G$13:$G$16,MATCH(C237,Settings!$A$13:$A$16,0)))+D237</f>
        <v/>
      </c>
      <c r="G237" s="29">
        <f>G236*(1+INDEX(Settings!$H$13:$H$16,MATCH(C237,Settings!$A$13:$A$16,0)))+D237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INDEX(Dashboard!$C$12:$C$19,MIN(8,INT((234-1)/60)+1))</f>
        <v/>
      </c>
      <c r="D238" s="29">
        <f>MIN(Dashboard!$C$9,INDEX(Settings!$B$19:$B$58,MIN(40,INT((234-1)/12)+1)))</f>
        <v/>
      </c>
      <c r="E238" s="29">
        <f>E237*(1+INDEX(Settings!$B$13:$B$16,MATCH(C238,Settings!$A$13:$A$16,0)))+D238</f>
        <v/>
      </c>
      <c r="F238" s="29">
        <f>F237*(1+INDEX(Settings!$G$13:$G$16,MATCH(C238,Settings!$A$13:$A$16,0)))+D238</f>
        <v/>
      </c>
      <c r="G238" s="29">
        <f>G237*(1+INDEX(Settings!$H$13:$H$16,MATCH(C238,Settings!$A$13:$A$16,0)))+D238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INDEX(Dashboard!$C$12:$C$19,MIN(8,INT((235-1)/60)+1))</f>
        <v/>
      </c>
      <c r="D239" s="29">
        <f>MIN(Dashboard!$C$9,INDEX(Settings!$B$19:$B$58,MIN(40,INT((235-1)/12)+1)))</f>
        <v/>
      </c>
      <c r="E239" s="29">
        <f>E238*(1+INDEX(Settings!$B$13:$B$16,MATCH(C239,Settings!$A$13:$A$16,0)))+D239</f>
        <v/>
      </c>
      <c r="F239" s="29">
        <f>F238*(1+INDEX(Settings!$G$13:$G$16,MATCH(C239,Settings!$A$13:$A$16,0)))+D239</f>
        <v/>
      </c>
      <c r="G239" s="29">
        <f>G238*(1+INDEX(Settings!$H$13:$H$16,MATCH(C239,Settings!$A$13:$A$16,0)))+D239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INDEX(Dashboard!$C$12:$C$19,MIN(8,INT((236-1)/60)+1))</f>
        <v/>
      </c>
      <c r="D240" s="29">
        <f>MIN(Dashboard!$C$9,INDEX(Settings!$B$19:$B$58,MIN(40,INT((236-1)/12)+1)))</f>
        <v/>
      </c>
      <c r="E240" s="29">
        <f>E239*(1+INDEX(Settings!$B$13:$B$16,MATCH(C240,Settings!$A$13:$A$16,0)))+D240</f>
        <v/>
      </c>
      <c r="F240" s="29">
        <f>F239*(1+INDEX(Settings!$G$13:$G$16,MATCH(C240,Settings!$A$13:$A$16,0)))+D240</f>
        <v/>
      </c>
      <c r="G240" s="29">
        <f>G239*(1+INDEX(Settings!$H$13:$H$16,MATCH(C240,Settings!$A$13:$A$16,0)))+D240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INDEX(Dashboard!$C$12:$C$19,MIN(8,INT((237-1)/60)+1))</f>
        <v/>
      </c>
      <c r="D241" s="29">
        <f>MIN(Dashboard!$C$9,INDEX(Settings!$B$19:$B$58,MIN(40,INT((237-1)/12)+1)))</f>
        <v/>
      </c>
      <c r="E241" s="29">
        <f>E240*(1+INDEX(Settings!$B$13:$B$16,MATCH(C241,Settings!$A$13:$A$16,0)))+D241</f>
        <v/>
      </c>
      <c r="F241" s="29">
        <f>F240*(1+INDEX(Settings!$G$13:$G$16,MATCH(C241,Settings!$A$13:$A$16,0)))+D241</f>
        <v/>
      </c>
      <c r="G241" s="29">
        <f>G240*(1+INDEX(Settings!$H$13:$H$16,MATCH(C241,Settings!$A$13:$A$16,0)))+D241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INDEX(Dashboard!$C$12:$C$19,MIN(8,INT((238-1)/60)+1))</f>
        <v/>
      </c>
      <c r="D242" s="29">
        <f>MIN(Dashboard!$C$9,INDEX(Settings!$B$19:$B$58,MIN(40,INT((238-1)/12)+1)))</f>
        <v/>
      </c>
      <c r="E242" s="29">
        <f>E241*(1+INDEX(Settings!$B$13:$B$16,MATCH(C242,Settings!$A$13:$A$16,0)))+D242</f>
        <v/>
      </c>
      <c r="F242" s="29">
        <f>F241*(1+INDEX(Settings!$G$13:$G$16,MATCH(C242,Settings!$A$13:$A$16,0)))+D242</f>
        <v/>
      </c>
      <c r="G242" s="29">
        <f>G241*(1+INDEX(Settings!$H$13:$H$16,MATCH(C242,Settings!$A$13:$A$16,0)))+D242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INDEX(Dashboard!$C$12:$C$19,MIN(8,INT((239-1)/60)+1))</f>
        <v/>
      </c>
      <c r="D243" s="29">
        <f>MIN(Dashboard!$C$9,INDEX(Settings!$B$19:$B$58,MIN(40,INT((239-1)/12)+1)))</f>
        <v/>
      </c>
      <c r="E243" s="29">
        <f>E242*(1+INDEX(Settings!$B$13:$B$16,MATCH(C243,Settings!$A$13:$A$16,0)))+D243</f>
        <v/>
      </c>
      <c r="F243" s="29">
        <f>F242*(1+INDEX(Settings!$G$13:$G$16,MATCH(C243,Settings!$A$13:$A$16,0)))+D243</f>
        <v/>
      </c>
      <c r="G243" s="29">
        <f>G242*(1+INDEX(Settings!$H$13:$H$16,MATCH(C243,Settings!$A$13:$A$16,0)))+D243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INDEX(Dashboard!$C$12:$C$19,MIN(8,INT((240-1)/60)+1))</f>
        <v/>
      </c>
      <c r="D244" s="29">
        <f>MIN(Dashboard!$C$9,INDEX(Settings!$B$19:$B$58,MIN(40,INT((240-1)/12)+1)))</f>
        <v/>
      </c>
      <c r="E244" s="29">
        <f>E243*(1+INDEX(Settings!$B$13:$B$16,MATCH(C244,Settings!$A$13:$A$16,0)))+D244</f>
        <v/>
      </c>
      <c r="F244" s="29">
        <f>F243*(1+INDEX(Settings!$G$13:$G$16,MATCH(C244,Settings!$A$13:$A$16,0)))+D244</f>
        <v/>
      </c>
      <c r="G244" s="29">
        <f>G243*(1+INDEX(Settings!$H$13:$H$16,MATCH(C244,Settings!$A$13:$A$16,0)))+D244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INDEX(Dashboard!$C$12:$C$19,MIN(8,INT((241-1)/60)+1))</f>
        <v/>
      </c>
      <c r="D245" s="29">
        <f>MIN(Dashboard!$C$9,INDEX(Settings!$B$19:$B$58,MIN(40,INT((241-1)/12)+1)))</f>
        <v/>
      </c>
      <c r="E245" s="29">
        <f>E244*(1+INDEX(Settings!$B$13:$B$16,MATCH(C245,Settings!$A$13:$A$16,0)))+D245</f>
        <v/>
      </c>
      <c r="F245" s="29">
        <f>F244*(1+INDEX(Settings!$G$13:$G$16,MATCH(C245,Settings!$A$13:$A$16,0)))+D245</f>
        <v/>
      </c>
      <c r="G245" s="29">
        <f>G244*(1+INDEX(Settings!$H$13:$H$16,MATCH(C245,Settings!$A$13:$A$16,0)))+D245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INDEX(Dashboard!$C$12:$C$19,MIN(8,INT((242-1)/60)+1))</f>
        <v/>
      </c>
      <c r="D246" s="29">
        <f>MIN(Dashboard!$C$9,INDEX(Settings!$B$19:$B$58,MIN(40,INT((242-1)/12)+1)))</f>
        <v/>
      </c>
      <c r="E246" s="29">
        <f>E245*(1+INDEX(Settings!$B$13:$B$16,MATCH(C246,Settings!$A$13:$A$16,0)))+D246</f>
        <v/>
      </c>
      <c r="F246" s="29">
        <f>F245*(1+INDEX(Settings!$G$13:$G$16,MATCH(C246,Settings!$A$13:$A$16,0)))+D246</f>
        <v/>
      </c>
      <c r="G246" s="29">
        <f>G245*(1+INDEX(Settings!$H$13:$H$16,MATCH(C246,Settings!$A$13:$A$16,0)))+D246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INDEX(Dashboard!$C$12:$C$19,MIN(8,INT((243-1)/60)+1))</f>
        <v/>
      </c>
      <c r="D247" s="29">
        <f>MIN(Dashboard!$C$9,INDEX(Settings!$B$19:$B$58,MIN(40,INT((243-1)/12)+1)))</f>
        <v/>
      </c>
      <c r="E247" s="29">
        <f>E246*(1+INDEX(Settings!$B$13:$B$16,MATCH(C247,Settings!$A$13:$A$16,0)))+D247</f>
        <v/>
      </c>
      <c r="F247" s="29">
        <f>F246*(1+INDEX(Settings!$G$13:$G$16,MATCH(C247,Settings!$A$13:$A$16,0)))+D247</f>
        <v/>
      </c>
      <c r="G247" s="29">
        <f>G246*(1+INDEX(Settings!$H$13:$H$16,MATCH(C247,Settings!$A$13:$A$16,0)))+D247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INDEX(Dashboard!$C$12:$C$19,MIN(8,INT((244-1)/60)+1))</f>
        <v/>
      </c>
      <c r="D248" s="29">
        <f>MIN(Dashboard!$C$9,INDEX(Settings!$B$19:$B$58,MIN(40,INT((244-1)/12)+1)))</f>
        <v/>
      </c>
      <c r="E248" s="29">
        <f>E247*(1+INDEX(Settings!$B$13:$B$16,MATCH(C248,Settings!$A$13:$A$16,0)))+D248</f>
        <v/>
      </c>
      <c r="F248" s="29">
        <f>F247*(1+INDEX(Settings!$G$13:$G$16,MATCH(C248,Settings!$A$13:$A$16,0)))+D248</f>
        <v/>
      </c>
      <c r="G248" s="29">
        <f>G247*(1+INDEX(Settings!$H$13:$H$16,MATCH(C248,Settings!$A$13:$A$16,0)))+D248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INDEX(Dashboard!$C$12:$C$19,MIN(8,INT((245-1)/60)+1))</f>
        <v/>
      </c>
      <c r="D249" s="29">
        <f>MIN(Dashboard!$C$9,INDEX(Settings!$B$19:$B$58,MIN(40,INT((245-1)/12)+1)))</f>
        <v/>
      </c>
      <c r="E249" s="29">
        <f>E248*(1+INDEX(Settings!$B$13:$B$16,MATCH(C249,Settings!$A$13:$A$16,0)))+D249</f>
        <v/>
      </c>
      <c r="F249" s="29">
        <f>F248*(1+INDEX(Settings!$G$13:$G$16,MATCH(C249,Settings!$A$13:$A$16,0)))+D249</f>
        <v/>
      </c>
      <c r="G249" s="29">
        <f>G248*(1+INDEX(Settings!$H$13:$H$16,MATCH(C249,Settings!$A$13:$A$16,0)))+D249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INDEX(Dashboard!$C$12:$C$19,MIN(8,INT((246-1)/60)+1))</f>
        <v/>
      </c>
      <c r="D250" s="29">
        <f>MIN(Dashboard!$C$9,INDEX(Settings!$B$19:$B$58,MIN(40,INT((246-1)/12)+1)))</f>
        <v/>
      </c>
      <c r="E250" s="29">
        <f>E249*(1+INDEX(Settings!$B$13:$B$16,MATCH(C250,Settings!$A$13:$A$16,0)))+D250</f>
        <v/>
      </c>
      <c r="F250" s="29">
        <f>F249*(1+INDEX(Settings!$G$13:$G$16,MATCH(C250,Settings!$A$13:$A$16,0)))+D250</f>
        <v/>
      </c>
      <c r="G250" s="29">
        <f>G249*(1+INDEX(Settings!$H$13:$H$16,MATCH(C250,Settings!$A$13:$A$16,0)))+D250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INDEX(Dashboard!$C$12:$C$19,MIN(8,INT((247-1)/60)+1))</f>
        <v/>
      </c>
      <c r="D251" s="29">
        <f>MIN(Dashboard!$C$9,INDEX(Settings!$B$19:$B$58,MIN(40,INT((247-1)/12)+1)))</f>
        <v/>
      </c>
      <c r="E251" s="29">
        <f>E250*(1+INDEX(Settings!$B$13:$B$16,MATCH(C251,Settings!$A$13:$A$16,0)))+D251</f>
        <v/>
      </c>
      <c r="F251" s="29">
        <f>F250*(1+INDEX(Settings!$G$13:$G$16,MATCH(C251,Settings!$A$13:$A$16,0)))+D251</f>
        <v/>
      </c>
      <c r="G251" s="29">
        <f>G250*(1+INDEX(Settings!$H$13:$H$16,MATCH(C251,Settings!$A$13:$A$16,0)))+D251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INDEX(Dashboard!$C$12:$C$19,MIN(8,INT((248-1)/60)+1))</f>
        <v/>
      </c>
      <c r="D252" s="29">
        <f>MIN(Dashboard!$C$9,INDEX(Settings!$B$19:$B$58,MIN(40,INT((248-1)/12)+1)))</f>
        <v/>
      </c>
      <c r="E252" s="29">
        <f>E251*(1+INDEX(Settings!$B$13:$B$16,MATCH(C252,Settings!$A$13:$A$16,0)))+D252</f>
        <v/>
      </c>
      <c r="F252" s="29">
        <f>F251*(1+INDEX(Settings!$G$13:$G$16,MATCH(C252,Settings!$A$13:$A$16,0)))+D252</f>
        <v/>
      </c>
      <c r="G252" s="29">
        <f>G251*(1+INDEX(Settings!$H$13:$H$16,MATCH(C252,Settings!$A$13:$A$16,0)))+D252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INDEX(Dashboard!$C$12:$C$19,MIN(8,INT((249-1)/60)+1))</f>
        <v/>
      </c>
      <c r="D253" s="29">
        <f>MIN(Dashboard!$C$9,INDEX(Settings!$B$19:$B$58,MIN(40,INT((249-1)/12)+1)))</f>
        <v/>
      </c>
      <c r="E253" s="29">
        <f>E252*(1+INDEX(Settings!$B$13:$B$16,MATCH(C253,Settings!$A$13:$A$16,0)))+D253</f>
        <v/>
      </c>
      <c r="F253" s="29">
        <f>F252*(1+INDEX(Settings!$G$13:$G$16,MATCH(C253,Settings!$A$13:$A$16,0)))+D253</f>
        <v/>
      </c>
      <c r="G253" s="29">
        <f>G252*(1+INDEX(Settings!$H$13:$H$16,MATCH(C253,Settings!$A$13:$A$16,0)))+D253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INDEX(Dashboard!$C$12:$C$19,MIN(8,INT((250-1)/60)+1))</f>
        <v/>
      </c>
      <c r="D254" s="29">
        <f>MIN(Dashboard!$C$9,INDEX(Settings!$B$19:$B$58,MIN(40,INT((250-1)/12)+1)))</f>
        <v/>
      </c>
      <c r="E254" s="29">
        <f>E253*(1+INDEX(Settings!$B$13:$B$16,MATCH(C254,Settings!$A$13:$A$16,0)))+D254</f>
        <v/>
      </c>
      <c r="F254" s="29">
        <f>F253*(1+INDEX(Settings!$G$13:$G$16,MATCH(C254,Settings!$A$13:$A$16,0)))+D254</f>
        <v/>
      </c>
      <c r="G254" s="29">
        <f>G253*(1+INDEX(Settings!$H$13:$H$16,MATCH(C254,Settings!$A$13:$A$16,0)))+D254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INDEX(Dashboard!$C$12:$C$19,MIN(8,INT((251-1)/60)+1))</f>
        <v/>
      </c>
      <c r="D255" s="29">
        <f>MIN(Dashboard!$C$9,INDEX(Settings!$B$19:$B$58,MIN(40,INT((251-1)/12)+1)))</f>
        <v/>
      </c>
      <c r="E255" s="29">
        <f>E254*(1+INDEX(Settings!$B$13:$B$16,MATCH(C255,Settings!$A$13:$A$16,0)))+D255</f>
        <v/>
      </c>
      <c r="F255" s="29">
        <f>F254*(1+INDEX(Settings!$G$13:$G$16,MATCH(C255,Settings!$A$13:$A$16,0)))+D255</f>
        <v/>
      </c>
      <c r="G255" s="29">
        <f>G254*(1+INDEX(Settings!$H$13:$H$16,MATCH(C255,Settings!$A$13:$A$16,0)))+D255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INDEX(Dashboard!$C$12:$C$19,MIN(8,INT((252-1)/60)+1))</f>
        <v/>
      </c>
      <c r="D256" s="29">
        <f>MIN(Dashboard!$C$9,INDEX(Settings!$B$19:$B$58,MIN(40,INT((252-1)/12)+1)))</f>
        <v/>
      </c>
      <c r="E256" s="29">
        <f>E255*(1+INDEX(Settings!$B$13:$B$16,MATCH(C256,Settings!$A$13:$A$16,0)))+D256</f>
        <v/>
      </c>
      <c r="F256" s="29">
        <f>F255*(1+INDEX(Settings!$G$13:$G$16,MATCH(C256,Settings!$A$13:$A$16,0)))+D256</f>
        <v/>
      </c>
      <c r="G256" s="29">
        <f>G255*(1+INDEX(Settings!$H$13:$H$16,MATCH(C256,Settings!$A$13:$A$16,0)))+D256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INDEX(Dashboard!$C$12:$C$19,MIN(8,INT((253-1)/60)+1))</f>
        <v/>
      </c>
      <c r="D257" s="29">
        <f>MIN(Dashboard!$C$9,INDEX(Settings!$B$19:$B$58,MIN(40,INT((253-1)/12)+1)))</f>
        <v/>
      </c>
      <c r="E257" s="29">
        <f>E256*(1+INDEX(Settings!$B$13:$B$16,MATCH(C257,Settings!$A$13:$A$16,0)))+D257</f>
        <v/>
      </c>
      <c r="F257" s="29">
        <f>F256*(1+INDEX(Settings!$G$13:$G$16,MATCH(C257,Settings!$A$13:$A$16,0)))+D257</f>
        <v/>
      </c>
      <c r="G257" s="29">
        <f>G256*(1+INDEX(Settings!$H$13:$H$16,MATCH(C257,Settings!$A$13:$A$16,0)))+D257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INDEX(Dashboard!$C$12:$C$19,MIN(8,INT((254-1)/60)+1))</f>
        <v/>
      </c>
      <c r="D258" s="29">
        <f>MIN(Dashboard!$C$9,INDEX(Settings!$B$19:$B$58,MIN(40,INT((254-1)/12)+1)))</f>
        <v/>
      </c>
      <c r="E258" s="29">
        <f>E257*(1+INDEX(Settings!$B$13:$B$16,MATCH(C258,Settings!$A$13:$A$16,0)))+D258</f>
        <v/>
      </c>
      <c r="F258" s="29">
        <f>F257*(1+INDEX(Settings!$G$13:$G$16,MATCH(C258,Settings!$A$13:$A$16,0)))+D258</f>
        <v/>
      </c>
      <c r="G258" s="29">
        <f>G257*(1+INDEX(Settings!$H$13:$H$16,MATCH(C258,Settings!$A$13:$A$16,0)))+D258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INDEX(Dashboard!$C$12:$C$19,MIN(8,INT((255-1)/60)+1))</f>
        <v/>
      </c>
      <c r="D259" s="29">
        <f>MIN(Dashboard!$C$9,INDEX(Settings!$B$19:$B$58,MIN(40,INT((255-1)/12)+1)))</f>
        <v/>
      </c>
      <c r="E259" s="29">
        <f>E258*(1+INDEX(Settings!$B$13:$B$16,MATCH(C259,Settings!$A$13:$A$16,0)))+D259</f>
        <v/>
      </c>
      <c r="F259" s="29">
        <f>F258*(1+INDEX(Settings!$G$13:$G$16,MATCH(C259,Settings!$A$13:$A$16,0)))+D259</f>
        <v/>
      </c>
      <c r="G259" s="29">
        <f>G258*(1+INDEX(Settings!$H$13:$H$16,MATCH(C259,Settings!$A$13:$A$16,0)))+D259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INDEX(Dashboard!$C$12:$C$19,MIN(8,INT((256-1)/60)+1))</f>
        <v/>
      </c>
      <c r="D260" s="29">
        <f>MIN(Dashboard!$C$9,INDEX(Settings!$B$19:$B$58,MIN(40,INT((256-1)/12)+1)))</f>
        <v/>
      </c>
      <c r="E260" s="29">
        <f>E259*(1+INDEX(Settings!$B$13:$B$16,MATCH(C260,Settings!$A$13:$A$16,0)))+D260</f>
        <v/>
      </c>
      <c r="F260" s="29">
        <f>F259*(1+INDEX(Settings!$G$13:$G$16,MATCH(C260,Settings!$A$13:$A$16,0)))+D260</f>
        <v/>
      </c>
      <c r="G260" s="29">
        <f>G259*(1+INDEX(Settings!$H$13:$H$16,MATCH(C260,Settings!$A$13:$A$16,0)))+D260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INDEX(Dashboard!$C$12:$C$19,MIN(8,INT((257-1)/60)+1))</f>
        <v/>
      </c>
      <c r="D261" s="29">
        <f>MIN(Dashboard!$C$9,INDEX(Settings!$B$19:$B$58,MIN(40,INT((257-1)/12)+1)))</f>
        <v/>
      </c>
      <c r="E261" s="29">
        <f>E260*(1+INDEX(Settings!$B$13:$B$16,MATCH(C261,Settings!$A$13:$A$16,0)))+D261</f>
        <v/>
      </c>
      <c r="F261" s="29">
        <f>F260*(1+INDEX(Settings!$G$13:$G$16,MATCH(C261,Settings!$A$13:$A$16,0)))+D261</f>
        <v/>
      </c>
      <c r="G261" s="29">
        <f>G260*(1+INDEX(Settings!$H$13:$H$16,MATCH(C261,Settings!$A$13:$A$16,0)))+D261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INDEX(Dashboard!$C$12:$C$19,MIN(8,INT((258-1)/60)+1))</f>
        <v/>
      </c>
      <c r="D262" s="29">
        <f>MIN(Dashboard!$C$9,INDEX(Settings!$B$19:$B$58,MIN(40,INT((258-1)/12)+1)))</f>
        <v/>
      </c>
      <c r="E262" s="29">
        <f>E261*(1+INDEX(Settings!$B$13:$B$16,MATCH(C262,Settings!$A$13:$A$16,0)))+D262</f>
        <v/>
      </c>
      <c r="F262" s="29">
        <f>F261*(1+INDEX(Settings!$G$13:$G$16,MATCH(C262,Settings!$A$13:$A$16,0)))+D262</f>
        <v/>
      </c>
      <c r="G262" s="29">
        <f>G261*(1+INDEX(Settings!$H$13:$H$16,MATCH(C262,Settings!$A$13:$A$16,0)))+D262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INDEX(Dashboard!$C$12:$C$19,MIN(8,INT((259-1)/60)+1))</f>
        <v/>
      </c>
      <c r="D263" s="29">
        <f>MIN(Dashboard!$C$9,INDEX(Settings!$B$19:$B$58,MIN(40,INT((259-1)/12)+1)))</f>
        <v/>
      </c>
      <c r="E263" s="29">
        <f>E262*(1+INDEX(Settings!$B$13:$B$16,MATCH(C263,Settings!$A$13:$A$16,0)))+D263</f>
        <v/>
      </c>
      <c r="F263" s="29">
        <f>F262*(1+INDEX(Settings!$G$13:$G$16,MATCH(C263,Settings!$A$13:$A$16,0)))+D263</f>
        <v/>
      </c>
      <c r="G263" s="29">
        <f>G262*(1+INDEX(Settings!$H$13:$H$16,MATCH(C263,Settings!$A$13:$A$16,0)))+D263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INDEX(Dashboard!$C$12:$C$19,MIN(8,INT((260-1)/60)+1))</f>
        <v/>
      </c>
      <c r="D264" s="29">
        <f>MIN(Dashboard!$C$9,INDEX(Settings!$B$19:$B$58,MIN(40,INT((260-1)/12)+1)))</f>
        <v/>
      </c>
      <c r="E264" s="29">
        <f>E263*(1+INDEX(Settings!$B$13:$B$16,MATCH(C264,Settings!$A$13:$A$16,0)))+D264</f>
        <v/>
      </c>
      <c r="F264" s="29">
        <f>F263*(1+INDEX(Settings!$G$13:$G$16,MATCH(C264,Settings!$A$13:$A$16,0)))+D264</f>
        <v/>
      </c>
      <c r="G264" s="29">
        <f>G263*(1+INDEX(Settings!$H$13:$H$16,MATCH(C264,Settings!$A$13:$A$16,0)))+D264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INDEX(Dashboard!$C$12:$C$19,MIN(8,INT((261-1)/60)+1))</f>
        <v/>
      </c>
      <c r="D265" s="29">
        <f>MIN(Dashboard!$C$9,INDEX(Settings!$B$19:$B$58,MIN(40,INT((261-1)/12)+1)))</f>
        <v/>
      </c>
      <c r="E265" s="29">
        <f>E264*(1+INDEX(Settings!$B$13:$B$16,MATCH(C265,Settings!$A$13:$A$16,0)))+D265</f>
        <v/>
      </c>
      <c r="F265" s="29">
        <f>F264*(1+INDEX(Settings!$G$13:$G$16,MATCH(C265,Settings!$A$13:$A$16,0)))+D265</f>
        <v/>
      </c>
      <c r="G265" s="29">
        <f>G264*(1+INDEX(Settings!$H$13:$H$16,MATCH(C265,Settings!$A$13:$A$16,0)))+D265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INDEX(Dashboard!$C$12:$C$19,MIN(8,INT((262-1)/60)+1))</f>
        <v/>
      </c>
      <c r="D266" s="29">
        <f>MIN(Dashboard!$C$9,INDEX(Settings!$B$19:$B$58,MIN(40,INT((262-1)/12)+1)))</f>
        <v/>
      </c>
      <c r="E266" s="29">
        <f>E265*(1+INDEX(Settings!$B$13:$B$16,MATCH(C266,Settings!$A$13:$A$16,0)))+D266</f>
        <v/>
      </c>
      <c r="F266" s="29">
        <f>F265*(1+INDEX(Settings!$G$13:$G$16,MATCH(C266,Settings!$A$13:$A$16,0)))+D266</f>
        <v/>
      </c>
      <c r="G266" s="29">
        <f>G265*(1+INDEX(Settings!$H$13:$H$16,MATCH(C266,Settings!$A$13:$A$16,0)))+D266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INDEX(Dashboard!$C$12:$C$19,MIN(8,INT((263-1)/60)+1))</f>
        <v/>
      </c>
      <c r="D267" s="29">
        <f>MIN(Dashboard!$C$9,INDEX(Settings!$B$19:$B$58,MIN(40,INT((263-1)/12)+1)))</f>
        <v/>
      </c>
      <c r="E267" s="29">
        <f>E266*(1+INDEX(Settings!$B$13:$B$16,MATCH(C267,Settings!$A$13:$A$16,0)))+D267</f>
        <v/>
      </c>
      <c r="F267" s="29">
        <f>F266*(1+INDEX(Settings!$G$13:$G$16,MATCH(C267,Settings!$A$13:$A$16,0)))+D267</f>
        <v/>
      </c>
      <c r="G267" s="29">
        <f>G266*(1+INDEX(Settings!$H$13:$H$16,MATCH(C267,Settings!$A$13:$A$16,0)))+D267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INDEX(Dashboard!$C$12:$C$19,MIN(8,INT((264-1)/60)+1))</f>
        <v/>
      </c>
      <c r="D268" s="29">
        <f>MIN(Dashboard!$C$9,INDEX(Settings!$B$19:$B$58,MIN(40,INT((264-1)/12)+1)))</f>
        <v/>
      </c>
      <c r="E268" s="29">
        <f>E267*(1+INDEX(Settings!$B$13:$B$16,MATCH(C268,Settings!$A$13:$A$16,0)))+D268</f>
        <v/>
      </c>
      <c r="F268" s="29">
        <f>F267*(1+INDEX(Settings!$G$13:$G$16,MATCH(C268,Settings!$A$13:$A$16,0)))+D268</f>
        <v/>
      </c>
      <c r="G268" s="29">
        <f>G267*(1+INDEX(Settings!$H$13:$H$16,MATCH(C268,Settings!$A$13:$A$16,0)))+D268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INDEX(Dashboard!$C$12:$C$19,MIN(8,INT((265-1)/60)+1))</f>
        <v/>
      </c>
      <c r="D269" s="29">
        <f>MIN(Dashboard!$C$9,INDEX(Settings!$B$19:$B$58,MIN(40,INT((265-1)/12)+1)))</f>
        <v/>
      </c>
      <c r="E269" s="29">
        <f>E268*(1+INDEX(Settings!$B$13:$B$16,MATCH(C269,Settings!$A$13:$A$16,0)))+D269</f>
        <v/>
      </c>
      <c r="F269" s="29">
        <f>F268*(1+INDEX(Settings!$G$13:$G$16,MATCH(C269,Settings!$A$13:$A$16,0)))+D269</f>
        <v/>
      </c>
      <c r="G269" s="29">
        <f>G268*(1+INDEX(Settings!$H$13:$H$16,MATCH(C269,Settings!$A$13:$A$16,0)))+D269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INDEX(Dashboard!$C$12:$C$19,MIN(8,INT((266-1)/60)+1))</f>
        <v/>
      </c>
      <c r="D270" s="29">
        <f>MIN(Dashboard!$C$9,INDEX(Settings!$B$19:$B$58,MIN(40,INT((266-1)/12)+1)))</f>
        <v/>
      </c>
      <c r="E270" s="29">
        <f>E269*(1+INDEX(Settings!$B$13:$B$16,MATCH(C270,Settings!$A$13:$A$16,0)))+D270</f>
        <v/>
      </c>
      <c r="F270" s="29">
        <f>F269*(1+INDEX(Settings!$G$13:$G$16,MATCH(C270,Settings!$A$13:$A$16,0)))+D270</f>
        <v/>
      </c>
      <c r="G270" s="29">
        <f>G269*(1+INDEX(Settings!$H$13:$H$16,MATCH(C270,Settings!$A$13:$A$16,0)))+D270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INDEX(Dashboard!$C$12:$C$19,MIN(8,INT((267-1)/60)+1))</f>
        <v/>
      </c>
      <c r="D271" s="29">
        <f>MIN(Dashboard!$C$9,INDEX(Settings!$B$19:$B$58,MIN(40,INT((267-1)/12)+1)))</f>
        <v/>
      </c>
      <c r="E271" s="29">
        <f>E270*(1+INDEX(Settings!$B$13:$B$16,MATCH(C271,Settings!$A$13:$A$16,0)))+D271</f>
        <v/>
      </c>
      <c r="F271" s="29">
        <f>F270*(1+INDEX(Settings!$G$13:$G$16,MATCH(C271,Settings!$A$13:$A$16,0)))+D271</f>
        <v/>
      </c>
      <c r="G271" s="29">
        <f>G270*(1+INDEX(Settings!$H$13:$H$16,MATCH(C271,Settings!$A$13:$A$16,0)))+D271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INDEX(Dashboard!$C$12:$C$19,MIN(8,INT((268-1)/60)+1))</f>
        <v/>
      </c>
      <c r="D272" s="29">
        <f>MIN(Dashboard!$C$9,INDEX(Settings!$B$19:$B$58,MIN(40,INT((268-1)/12)+1)))</f>
        <v/>
      </c>
      <c r="E272" s="29">
        <f>E271*(1+INDEX(Settings!$B$13:$B$16,MATCH(C272,Settings!$A$13:$A$16,0)))+D272</f>
        <v/>
      </c>
      <c r="F272" s="29">
        <f>F271*(1+INDEX(Settings!$G$13:$G$16,MATCH(C272,Settings!$A$13:$A$16,0)))+D272</f>
        <v/>
      </c>
      <c r="G272" s="29">
        <f>G271*(1+INDEX(Settings!$H$13:$H$16,MATCH(C272,Settings!$A$13:$A$16,0)))+D272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INDEX(Dashboard!$C$12:$C$19,MIN(8,INT((269-1)/60)+1))</f>
        <v/>
      </c>
      <c r="D273" s="29">
        <f>MIN(Dashboard!$C$9,INDEX(Settings!$B$19:$B$58,MIN(40,INT((269-1)/12)+1)))</f>
        <v/>
      </c>
      <c r="E273" s="29">
        <f>E272*(1+INDEX(Settings!$B$13:$B$16,MATCH(C273,Settings!$A$13:$A$16,0)))+D273</f>
        <v/>
      </c>
      <c r="F273" s="29">
        <f>F272*(1+INDEX(Settings!$G$13:$G$16,MATCH(C273,Settings!$A$13:$A$16,0)))+D273</f>
        <v/>
      </c>
      <c r="G273" s="29">
        <f>G272*(1+INDEX(Settings!$H$13:$H$16,MATCH(C273,Settings!$A$13:$A$16,0)))+D273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INDEX(Dashboard!$C$12:$C$19,MIN(8,INT((270-1)/60)+1))</f>
        <v/>
      </c>
      <c r="D274" s="29">
        <f>MIN(Dashboard!$C$9,INDEX(Settings!$B$19:$B$58,MIN(40,INT((270-1)/12)+1)))</f>
        <v/>
      </c>
      <c r="E274" s="29">
        <f>E273*(1+INDEX(Settings!$B$13:$B$16,MATCH(C274,Settings!$A$13:$A$16,0)))+D274</f>
        <v/>
      </c>
      <c r="F274" s="29">
        <f>F273*(1+INDEX(Settings!$G$13:$G$16,MATCH(C274,Settings!$A$13:$A$16,0)))+D274</f>
        <v/>
      </c>
      <c r="G274" s="29">
        <f>G273*(1+INDEX(Settings!$H$13:$H$16,MATCH(C274,Settings!$A$13:$A$16,0)))+D274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INDEX(Dashboard!$C$12:$C$19,MIN(8,INT((271-1)/60)+1))</f>
        <v/>
      </c>
      <c r="D275" s="29">
        <f>MIN(Dashboard!$C$9,INDEX(Settings!$B$19:$B$58,MIN(40,INT((271-1)/12)+1)))</f>
        <v/>
      </c>
      <c r="E275" s="29">
        <f>E274*(1+INDEX(Settings!$B$13:$B$16,MATCH(C275,Settings!$A$13:$A$16,0)))+D275</f>
        <v/>
      </c>
      <c r="F275" s="29">
        <f>F274*(1+INDEX(Settings!$G$13:$G$16,MATCH(C275,Settings!$A$13:$A$16,0)))+D275</f>
        <v/>
      </c>
      <c r="G275" s="29">
        <f>G274*(1+INDEX(Settings!$H$13:$H$16,MATCH(C275,Settings!$A$13:$A$16,0)))+D275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INDEX(Dashboard!$C$12:$C$19,MIN(8,INT((272-1)/60)+1))</f>
        <v/>
      </c>
      <c r="D276" s="29">
        <f>MIN(Dashboard!$C$9,INDEX(Settings!$B$19:$B$58,MIN(40,INT((272-1)/12)+1)))</f>
        <v/>
      </c>
      <c r="E276" s="29">
        <f>E275*(1+INDEX(Settings!$B$13:$B$16,MATCH(C276,Settings!$A$13:$A$16,0)))+D276</f>
        <v/>
      </c>
      <c r="F276" s="29">
        <f>F275*(1+INDEX(Settings!$G$13:$G$16,MATCH(C276,Settings!$A$13:$A$16,0)))+D276</f>
        <v/>
      </c>
      <c r="G276" s="29">
        <f>G275*(1+INDEX(Settings!$H$13:$H$16,MATCH(C276,Settings!$A$13:$A$16,0)))+D276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INDEX(Dashboard!$C$12:$C$19,MIN(8,INT((273-1)/60)+1))</f>
        <v/>
      </c>
      <c r="D277" s="29">
        <f>MIN(Dashboard!$C$9,INDEX(Settings!$B$19:$B$58,MIN(40,INT((273-1)/12)+1)))</f>
        <v/>
      </c>
      <c r="E277" s="29">
        <f>E276*(1+INDEX(Settings!$B$13:$B$16,MATCH(C277,Settings!$A$13:$A$16,0)))+D277</f>
        <v/>
      </c>
      <c r="F277" s="29">
        <f>F276*(1+INDEX(Settings!$G$13:$G$16,MATCH(C277,Settings!$A$13:$A$16,0)))+D277</f>
        <v/>
      </c>
      <c r="G277" s="29">
        <f>G276*(1+INDEX(Settings!$H$13:$H$16,MATCH(C277,Settings!$A$13:$A$16,0)))+D277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INDEX(Dashboard!$C$12:$C$19,MIN(8,INT((274-1)/60)+1))</f>
        <v/>
      </c>
      <c r="D278" s="29">
        <f>MIN(Dashboard!$C$9,INDEX(Settings!$B$19:$B$58,MIN(40,INT((274-1)/12)+1)))</f>
        <v/>
      </c>
      <c r="E278" s="29">
        <f>E277*(1+INDEX(Settings!$B$13:$B$16,MATCH(C278,Settings!$A$13:$A$16,0)))+D278</f>
        <v/>
      </c>
      <c r="F278" s="29">
        <f>F277*(1+INDEX(Settings!$G$13:$G$16,MATCH(C278,Settings!$A$13:$A$16,0)))+D278</f>
        <v/>
      </c>
      <c r="G278" s="29">
        <f>G277*(1+INDEX(Settings!$H$13:$H$16,MATCH(C278,Settings!$A$13:$A$16,0)))+D278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INDEX(Dashboard!$C$12:$C$19,MIN(8,INT((275-1)/60)+1))</f>
        <v/>
      </c>
      <c r="D279" s="29">
        <f>MIN(Dashboard!$C$9,INDEX(Settings!$B$19:$B$58,MIN(40,INT((275-1)/12)+1)))</f>
        <v/>
      </c>
      <c r="E279" s="29">
        <f>E278*(1+INDEX(Settings!$B$13:$B$16,MATCH(C279,Settings!$A$13:$A$16,0)))+D279</f>
        <v/>
      </c>
      <c r="F279" s="29">
        <f>F278*(1+INDEX(Settings!$G$13:$G$16,MATCH(C279,Settings!$A$13:$A$16,0)))+D279</f>
        <v/>
      </c>
      <c r="G279" s="29">
        <f>G278*(1+INDEX(Settings!$H$13:$H$16,MATCH(C279,Settings!$A$13:$A$16,0)))+D279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INDEX(Dashboard!$C$12:$C$19,MIN(8,INT((276-1)/60)+1))</f>
        <v/>
      </c>
      <c r="D280" s="29">
        <f>MIN(Dashboard!$C$9,INDEX(Settings!$B$19:$B$58,MIN(40,INT((276-1)/12)+1)))</f>
        <v/>
      </c>
      <c r="E280" s="29">
        <f>E279*(1+INDEX(Settings!$B$13:$B$16,MATCH(C280,Settings!$A$13:$A$16,0)))+D280</f>
        <v/>
      </c>
      <c r="F280" s="29">
        <f>F279*(1+INDEX(Settings!$G$13:$G$16,MATCH(C280,Settings!$A$13:$A$16,0)))+D280</f>
        <v/>
      </c>
      <c r="G280" s="29">
        <f>G279*(1+INDEX(Settings!$H$13:$H$16,MATCH(C280,Settings!$A$13:$A$16,0)))+D280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INDEX(Dashboard!$C$12:$C$19,MIN(8,INT((277-1)/60)+1))</f>
        <v/>
      </c>
      <c r="D281" s="29">
        <f>MIN(Dashboard!$C$9,INDEX(Settings!$B$19:$B$58,MIN(40,INT((277-1)/12)+1)))</f>
        <v/>
      </c>
      <c r="E281" s="29">
        <f>E280*(1+INDEX(Settings!$B$13:$B$16,MATCH(C281,Settings!$A$13:$A$16,0)))+D281</f>
        <v/>
      </c>
      <c r="F281" s="29">
        <f>F280*(1+INDEX(Settings!$G$13:$G$16,MATCH(C281,Settings!$A$13:$A$16,0)))+D281</f>
        <v/>
      </c>
      <c r="G281" s="29">
        <f>G280*(1+INDEX(Settings!$H$13:$H$16,MATCH(C281,Settings!$A$13:$A$16,0)))+D281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INDEX(Dashboard!$C$12:$C$19,MIN(8,INT((278-1)/60)+1))</f>
        <v/>
      </c>
      <c r="D282" s="29">
        <f>MIN(Dashboard!$C$9,INDEX(Settings!$B$19:$B$58,MIN(40,INT((278-1)/12)+1)))</f>
        <v/>
      </c>
      <c r="E282" s="29">
        <f>E281*(1+INDEX(Settings!$B$13:$B$16,MATCH(C282,Settings!$A$13:$A$16,0)))+D282</f>
        <v/>
      </c>
      <c r="F282" s="29">
        <f>F281*(1+INDEX(Settings!$G$13:$G$16,MATCH(C282,Settings!$A$13:$A$16,0)))+D282</f>
        <v/>
      </c>
      <c r="G282" s="29">
        <f>G281*(1+INDEX(Settings!$H$13:$H$16,MATCH(C282,Settings!$A$13:$A$16,0)))+D282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INDEX(Dashboard!$C$12:$C$19,MIN(8,INT((279-1)/60)+1))</f>
        <v/>
      </c>
      <c r="D283" s="29">
        <f>MIN(Dashboard!$C$9,INDEX(Settings!$B$19:$B$58,MIN(40,INT((279-1)/12)+1)))</f>
        <v/>
      </c>
      <c r="E283" s="29">
        <f>E282*(1+INDEX(Settings!$B$13:$B$16,MATCH(C283,Settings!$A$13:$A$16,0)))+D283</f>
        <v/>
      </c>
      <c r="F283" s="29">
        <f>F282*(1+INDEX(Settings!$G$13:$G$16,MATCH(C283,Settings!$A$13:$A$16,0)))+D283</f>
        <v/>
      </c>
      <c r="G283" s="29">
        <f>G282*(1+INDEX(Settings!$H$13:$H$16,MATCH(C283,Settings!$A$13:$A$16,0)))+D283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INDEX(Dashboard!$C$12:$C$19,MIN(8,INT((280-1)/60)+1))</f>
        <v/>
      </c>
      <c r="D284" s="29">
        <f>MIN(Dashboard!$C$9,INDEX(Settings!$B$19:$B$58,MIN(40,INT((280-1)/12)+1)))</f>
        <v/>
      </c>
      <c r="E284" s="29">
        <f>E283*(1+INDEX(Settings!$B$13:$B$16,MATCH(C284,Settings!$A$13:$A$16,0)))+D284</f>
        <v/>
      </c>
      <c r="F284" s="29">
        <f>F283*(1+INDEX(Settings!$G$13:$G$16,MATCH(C284,Settings!$A$13:$A$16,0)))+D284</f>
        <v/>
      </c>
      <c r="G284" s="29">
        <f>G283*(1+INDEX(Settings!$H$13:$H$16,MATCH(C284,Settings!$A$13:$A$16,0)))+D284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INDEX(Dashboard!$C$12:$C$19,MIN(8,INT((281-1)/60)+1))</f>
        <v/>
      </c>
      <c r="D285" s="29">
        <f>MIN(Dashboard!$C$9,INDEX(Settings!$B$19:$B$58,MIN(40,INT((281-1)/12)+1)))</f>
        <v/>
      </c>
      <c r="E285" s="29">
        <f>E284*(1+INDEX(Settings!$B$13:$B$16,MATCH(C285,Settings!$A$13:$A$16,0)))+D285</f>
        <v/>
      </c>
      <c r="F285" s="29">
        <f>F284*(1+INDEX(Settings!$G$13:$G$16,MATCH(C285,Settings!$A$13:$A$16,0)))+D285</f>
        <v/>
      </c>
      <c r="G285" s="29">
        <f>G284*(1+INDEX(Settings!$H$13:$H$16,MATCH(C285,Settings!$A$13:$A$16,0)))+D285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INDEX(Dashboard!$C$12:$C$19,MIN(8,INT((282-1)/60)+1))</f>
        <v/>
      </c>
      <c r="D286" s="29">
        <f>MIN(Dashboard!$C$9,INDEX(Settings!$B$19:$B$58,MIN(40,INT((282-1)/12)+1)))</f>
        <v/>
      </c>
      <c r="E286" s="29">
        <f>E285*(1+INDEX(Settings!$B$13:$B$16,MATCH(C286,Settings!$A$13:$A$16,0)))+D286</f>
        <v/>
      </c>
      <c r="F286" s="29">
        <f>F285*(1+INDEX(Settings!$G$13:$G$16,MATCH(C286,Settings!$A$13:$A$16,0)))+D286</f>
        <v/>
      </c>
      <c r="G286" s="29">
        <f>G285*(1+INDEX(Settings!$H$13:$H$16,MATCH(C286,Settings!$A$13:$A$16,0)))+D286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INDEX(Dashboard!$C$12:$C$19,MIN(8,INT((283-1)/60)+1))</f>
        <v/>
      </c>
      <c r="D287" s="29">
        <f>MIN(Dashboard!$C$9,INDEX(Settings!$B$19:$B$58,MIN(40,INT((283-1)/12)+1)))</f>
        <v/>
      </c>
      <c r="E287" s="29">
        <f>E286*(1+INDEX(Settings!$B$13:$B$16,MATCH(C287,Settings!$A$13:$A$16,0)))+D287</f>
        <v/>
      </c>
      <c r="F287" s="29">
        <f>F286*(1+INDEX(Settings!$G$13:$G$16,MATCH(C287,Settings!$A$13:$A$16,0)))+D287</f>
        <v/>
      </c>
      <c r="G287" s="29">
        <f>G286*(1+INDEX(Settings!$H$13:$H$16,MATCH(C287,Settings!$A$13:$A$16,0)))+D287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INDEX(Dashboard!$C$12:$C$19,MIN(8,INT((284-1)/60)+1))</f>
        <v/>
      </c>
      <c r="D288" s="29">
        <f>MIN(Dashboard!$C$9,INDEX(Settings!$B$19:$B$58,MIN(40,INT((284-1)/12)+1)))</f>
        <v/>
      </c>
      <c r="E288" s="29">
        <f>E287*(1+INDEX(Settings!$B$13:$B$16,MATCH(C288,Settings!$A$13:$A$16,0)))+D288</f>
        <v/>
      </c>
      <c r="F288" s="29">
        <f>F287*(1+INDEX(Settings!$G$13:$G$16,MATCH(C288,Settings!$A$13:$A$16,0)))+D288</f>
        <v/>
      </c>
      <c r="G288" s="29">
        <f>G287*(1+INDEX(Settings!$H$13:$H$16,MATCH(C288,Settings!$A$13:$A$16,0)))+D288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INDEX(Dashboard!$C$12:$C$19,MIN(8,INT((285-1)/60)+1))</f>
        <v/>
      </c>
      <c r="D289" s="29">
        <f>MIN(Dashboard!$C$9,INDEX(Settings!$B$19:$B$58,MIN(40,INT((285-1)/12)+1)))</f>
        <v/>
      </c>
      <c r="E289" s="29">
        <f>E288*(1+INDEX(Settings!$B$13:$B$16,MATCH(C289,Settings!$A$13:$A$16,0)))+D289</f>
        <v/>
      </c>
      <c r="F289" s="29">
        <f>F288*(1+INDEX(Settings!$G$13:$G$16,MATCH(C289,Settings!$A$13:$A$16,0)))+D289</f>
        <v/>
      </c>
      <c r="G289" s="29">
        <f>G288*(1+INDEX(Settings!$H$13:$H$16,MATCH(C289,Settings!$A$13:$A$16,0)))+D289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INDEX(Dashboard!$C$12:$C$19,MIN(8,INT((286-1)/60)+1))</f>
        <v/>
      </c>
      <c r="D290" s="29">
        <f>MIN(Dashboard!$C$9,INDEX(Settings!$B$19:$B$58,MIN(40,INT((286-1)/12)+1)))</f>
        <v/>
      </c>
      <c r="E290" s="29">
        <f>E289*(1+INDEX(Settings!$B$13:$B$16,MATCH(C290,Settings!$A$13:$A$16,0)))+D290</f>
        <v/>
      </c>
      <c r="F290" s="29">
        <f>F289*(1+INDEX(Settings!$G$13:$G$16,MATCH(C290,Settings!$A$13:$A$16,0)))+D290</f>
        <v/>
      </c>
      <c r="G290" s="29">
        <f>G289*(1+INDEX(Settings!$H$13:$H$16,MATCH(C290,Settings!$A$13:$A$16,0)))+D290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INDEX(Dashboard!$C$12:$C$19,MIN(8,INT((287-1)/60)+1))</f>
        <v/>
      </c>
      <c r="D291" s="29">
        <f>MIN(Dashboard!$C$9,INDEX(Settings!$B$19:$B$58,MIN(40,INT((287-1)/12)+1)))</f>
        <v/>
      </c>
      <c r="E291" s="29">
        <f>E290*(1+INDEX(Settings!$B$13:$B$16,MATCH(C291,Settings!$A$13:$A$16,0)))+D291</f>
        <v/>
      </c>
      <c r="F291" s="29">
        <f>F290*(1+INDEX(Settings!$G$13:$G$16,MATCH(C291,Settings!$A$13:$A$16,0)))+D291</f>
        <v/>
      </c>
      <c r="G291" s="29">
        <f>G290*(1+INDEX(Settings!$H$13:$H$16,MATCH(C291,Settings!$A$13:$A$16,0)))+D291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INDEX(Dashboard!$C$12:$C$19,MIN(8,INT((288-1)/60)+1))</f>
        <v/>
      </c>
      <c r="D292" s="29">
        <f>MIN(Dashboard!$C$9,INDEX(Settings!$B$19:$B$58,MIN(40,INT((288-1)/12)+1)))</f>
        <v/>
      </c>
      <c r="E292" s="29">
        <f>E291*(1+INDEX(Settings!$B$13:$B$16,MATCH(C292,Settings!$A$13:$A$16,0)))+D292</f>
        <v/>
      </c>
      <c r="F292" s="29">
        <f>F291*(1+INDEX(Settings!$G$13:$G$16,MATCH(C292,Settings!$A$13:$A$16,0)))+D292</f>
        <v/>
      </c>
      <c r="G292" s="29">
        <f>G291*(1+INDEX(Settings!$H$13:$H$16,MATCH(C292,Settings!$A$13:$A$16,0)))+D292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INDEX(Dashboard!$C$12:$C$19,MIN(8,INT((289-1)/60)+1))</f>
        <v/>
      </c>
      <c r="D293" s="29">
        <f>MIN(Dashboard!$C$9,INDEX(Settings!$B$19:$B$58,MIN(40,INT((289-1)/12)+1)))</f>
        <v/>
      </c>
      <c r="E293" s="29">
        <f>E292*(1+INDEX(Settings!$B$13:$B$16,MATCH(C293,Settings!$A$13:$A$16,0)))+D293</f>
        <v/>
      </c>
      <c r="F293" s="29">
        <f>F292*(1+INDEX(Settings!$G$13:$G$16,MATCH(C293,Settings!$A$13:$A$16,0)))+D293</f>
        <v/>
      </c>
      <c r="G293" s="29">
        <f>G292*(1+INDEX(Settings!$H$13:$H$16,MATCH(C293,Settings!$A$13:$A$16,0)))+D293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INDEX(Dashboard!$C$12:$C$19,MIN(8,INT((290-1)/60)+1))</f>
        <v/>
      </c>
      <c r="D294" s="29">
        <f>MIN(Dashboard!$C$9,INDEX(Settings!$B$19:$B$58,MIN(40,INT((290-1)/12)+1)))</f>
        <v/>
      </c>
      <c r="E294" s="29">
        <f>E293*(1+INDEX(Settings!$B$13:$B$16,MATCH(C294,Settings!$A$13:$A$16,0)))+D294</f>
        <v/>
      </c>
      <c r="F294" s="29">
        <f>F293*(1+INDEX(Settings!$G$13:$G$16,MATCH(C294,Settings!$A$13:$A$16,0)))+D294</f>
        <v/>
      </c>
      <c r="G294" s="29">
        <f>G293*(1+INDEX(Settings!$H$13:$H$16,MATCH(C294,Settings!$A$13:$A$16,0)))+D294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INDEX(Dashboard!$C$12:$C$19,MIN(8,INT((291-1)/60)+1))</f>
        <v/>
      </c>
      <c r="D295" s="29">
        <f>MIN(Dashboard!$C$9,INDEX(Settings!$B$19:$B$58,MIN(40,INT((291-1)/12)+1)))</f>
        <v/>
      </c>
      <c r="E295" s="29">
        <f>E294*(1+INDEX(Settings!$B$13:$B$16,MATCH(C295,Settings!$A$13:$A$16,0)))+D295</f>
        <v/>
      </c>
      <c r="F295" s="29">
        <f>F294*(1+INDEX(Settings!$G$13:$G$16,MATCH(C295,Settings!$A$13:$A$16,0)))+D295</f>
        <v/>
      </c>
      <c r="G295" s="29">
        <f>G294*(1+INDEX(Settings!$H$13:$H$16,MATCH(C295,Settings!$A$13:$A$16,0)))+D295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INDEX(Dashboard!$C$12:$C$19,MIN(8,INT((292-1)/60)+1))</f>
        <v/>
      </c>
      <c r="D296" s="29">
        <f>MIN(Dashboard!$C$9,INDEX(Settings!$B$19:$B$58,MIN(40,INT((292-1)/12)+1)))</f>
        <v/>
      </c>
      <c r="E296" s="29">
        <f>E295*(1+INDEX(Settings!$B$13:$B$16,MATCH(C296,Settings!$A$13:$A$16,0)))+D296</f>
        <v/>
      </c>
      <c r="F296" s="29">
        <f>F295*(1+INDEX(Settings!$G$13:$G$16,MATCH(C296,Settings!$A$13:$A$16,0)))+D296</f>
        <v/>
      </c>
      <c r="G296" s="29">
        <f>G295*(1+INDEX(Settings!$H$13:$H$16,MATCH(C296,Settings!$A$13:$A$16,0)))+D296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INDEX(Dashboard!$C$12:$C$19,MIN(8,INT((293-1)/60)+1))</f>
        <v/>
      </c>
      <c r="D297" s="29">
        <f>MIN(Dashboard!$C$9,INDEX(Settings!$B$19:$B$58,MIN(40,INT((293-1)/12)+1)))</f>
        <v/>
      </c>
      <c r="E297" s="29">
        <f>E296*(1+INDEX(Settings!$B$13:$B$16,MATCH(C297,Settings!$A$13:$A$16,0)))+D297</f>
        <v/>
      </c>
      <c r="F297" s="29">
        <f>F296*(1+INDEX(Settings!$G$13:$G$16,MATCH(C297,Settings!$A$13:$A$16,0)))+D297</f>
        <v/>
      </c>
      <c r="G297" s="29">
        <f>G296*(1+INDEX(Settings!$H$13:$H$16,MATCH(C297,Settings!$A$13:$A$16,0)))+D297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INDEX(Dashboard!$C$12:$C$19,MIN(8,INT((294-1)/60)+1))</f>
        <v/>
      </c>
      <c r="D298" s="29">
        <f>MIN(Dashboard!$C$9,INDEX(Settings!$B$19:$B$58,MIN(40,INT((294-1)/12)+1)))</f>
        <v/>
      </c>
      <c r="E298" s="29">
        <f>E297*(1+INDEX(Settings!$B$13:$B$16,MATCH(C298,Settings!$A$13:$A$16,0)))+D298</f>
        <v/>
      </c>
      <c r="F298" s="29">
        <f>F297*(1+INDEX(Settings!$G$13:$G$16,MATCH(C298,Settings!$A$13:$A$16,0)))+D298</f>
        <v/>
      </c>
      <c r="G298" s="29">
        <f>G297*(1+INDEX(Settings!$H$13:$H$16,MATCH(C298,Settings!$A$13:$A$16,0)))+D298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INDEX(Dashboard!$C$12:$C$19,MIN(8,INT((295-1)/60)+1))</f>
        <v/>
      </c>
      <c r="D299" s="29">
        <f>MIN(Dashboard!$C$9,INDEX(Settings!$B$19:$B$58,MIN(40,INT((295-1)/12)+1)))</f>
        <v/>
      </c>
      <c r="E299" s="29">
        <f>E298*(1+INDEX(Settings!$B$13:$B$16,MATCH(C299,Settings!$A$13:$A$16,0)))+D299</f>
        <v/>
      </c>
      <c r="F299" s="29">
        <f>F298*(1+INDEX(Settings!$G$13:$G$16,MATCH(C299,Settings!$A$13:$A$16,0)))+D299</f>
        <v/>
      </c>
      <c r="G299" s="29">
        <f>G298*(1+INDEX(Settings!$H$13:$H$16,MATCH(C299,Settings!$A$13:$A$16,0)))+D299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INDEX(Dashboard!$C$12:$C$19,MIN(8,INT((296-1)/60)+1))</f>
        <v/>
      </c>
      <c r="D300" s="29">
        <f>MIN(Dashboard!$C$9,INDEX(Settings!$B$19:$B$58,MIN(40,INT((296-1)/12)+1)))</f>
        <v/>
      </c>
      <c r="E300" s="29">
        <f>E299*(1+INDEX(Settings!$B$13:$B$16,MATCH(C300,Settings!$A$13:$A$16,0)))+D300</f>
        <v/>
      </c>
      <c r="F300" s="29">
        <f>F299*(1+INDEX(Settings!$G$13:$G$16,MATCH(C300,Settings!$A$13:$A$16,0)))+D300</f>
        <v/>
      </c>
      <c r="G300" s="29">
        <f>G299*(1+INDEX(Settings!$H$13:$H$16,MATCH(C300,Settings!$A$13:$A$16,0)))+D300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INDEX(Dashboard!$C$12:$C$19,MIN(8,INT((297-1)/60)+1))</f>
        <v/>
      </c>
      <c r="D301" s="29">
        <f>MIN(Dashboard!$C$9,INDEX(Settings!$B$19:$B$58,MIN(40,INT((297-1)/12)+1)))</f>
        <v/>
      </c>
      <c r="E301" s="29">
        <f>E300*(1+INDEX(Settings!$B$13:$B$16,MATCH(C301,Settings!$A$13:$A$16,0)))+D301</f>
        <v/>
      </c>
      <c r="F301" s="29">
        <f>F300*(1+INDEX(Settings!$G$13:$G$16,MATCH(C301,Settings!$A$13:$A$16,0)))+D301</f>
        <v/>
      </c>
      <c r="G301" s="29">
        <f>G300*(1+INDEX(Settings!$H$13:$H$16,MATCH(C301,Settings!$A$13:$A$16,0)))+D301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INDEX(Dashboard!$C$12:$C$19,MIN(8,INT((298-1)/60)+1))</f>
        <v/>
      </c>
      <c r="D302" s="29">
        <f>MIN(Dashboard!$C$9,INDEX(Settings!$B$19:$B$58,MIN(40,INT((298-1)/12)+1)))</f>
        <v/>
      </c>
      <c r="E302" s="29">
        <f>E301*(1+INDEX(Settings!$B$13:$B$16,MATCH(C302,Settings!$A$13:$A$16,0)))+D302</f>
        <v/>
      </c>
      <c r="F302" s="29">
        <f>F301*(1+INDEX(Settings!$G$13:$G$16,MATCH(C302,Settings!$A$13:$A$16,0)))+D302</f>
        <v/>
      </c>
      <c r="G302" s="29">
        <f>G301*(1+INDEX(Settings!$H$13:$H$16,MATCH(C302,Settings!$A$13:$A$16,0)))+D302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INDEX(Dashboard!$C$12:$C$19,MIN(8,INT((299-1)/60)+1))</f>
        <v/>
      </c>
      <c r="D303" s="29">
        <f>MIN(Dashboard!$C$9,INDEX(Settings!$B$19:$B$58,MIN(40,INT((299-1)/12)+1)))</f>
        <v/>
      </c>
      <c r="E303" s="29">
        <f>E302*(1+INDEX(Settings!$B$13:$B$16,MATCH(C303,Settings!$A$13:$A$16,0)))+D303</f>
        <v/>
      </c>
      <c r="F303" s="29">
        <f>F302*(1+INDEX(Settings!$G$13:$G$16,MATCH(C303,Settings!$A$13:$A$16,0)))+D303</f>
        <v/>
      </c>
      <c r="G303" s="29">
        <f>G302*(1+INDEX(Settings!$H$13:$H$16,MATCH(C303,Settings!$A$13:$A$16,0)))+D303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INDEX(Dashboard!$C$12:$C$19,MIN(8,INT((300-1)/60)+1))</f>
        <v/>
      </c>
      <c r="D304" s="29">
        <f>MIN(Dashboard!$C$9,INDEX(Settings!$B$19:$B$58,MIN(40,INT((300-1)/12)+1)))</f>
        <v/>
      </c>
      <c r="E304" s="29">
        <f>E303*(1+INDEX(Settings!$B$13:$B$16,MATCH(C304,Settings!$A$13:$A$16,0)))+D304</f>
        <v/>
      </c>
      <c r="F304" s="29">
        <f>F303*(1+INDEX(Settings!$G$13:$G$16,MATCH(C304,Settings!$A$13:$A$16,0)))+D304</f>
        <v/>
      </c>
      <c r="G304" s="29">
        <f>G303*(1+INDEX(Settings!$H$13:$H$16,MATCH(C304,Settings!$A$13:$A$16,0)))+D304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INDEX(Dashboard!$C$12:$C$19,MIN(8,INT((301-1)/60)+1))</f>
        <v/>
      </c>
      <c r="D305" s="29">
        <f>MIN(Dashboard!$C$9,INDEX(Settings!$B$19:$B$58,MIN(40,INT((301-1)/12)+1)))</f>
        <v/>
      </c>
      <c r="E305" s="29">
        <f>E304*(1+INDEX(Settings!$B$13:$B$16,MATCH(C305,Settings!$A$13:$A$16,0)))+D305</f>
        <v/>
      </c>
      <c r="F305" s="29">
        <f>F304*(1+INDEX(Settings!$G$13:$G$16,MATCH(C305,Settings!$A$13:$A$16,0)))+D305</f>
        <v/>
      </c>
      <c r="G305" s="29">
        <f>G304*(1+INDEX(Settings!$H$13:$H$16,MATCH(C305,Settings!$A$13:$A$16,0)))+D305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INDEX(Dashboard!$C$12:$C$19,MIN(8,INT((302-1)/60)+1))</f>
        <v/>
      </c>
      <c r="D306" s="29">
        <f>MIN(Dashboard!$C$9,INDEX(Settings!$B$19:$B$58,MIN(40,INT((302-1)/12)+1)))</f>
        <v/>
      </c>
      <c r="E306" s="29">
        <f>E305*(1+INDEX(Settings!$B$13:$B$16,MATCH(C306,Settings!$A$13:$A$16,0)))+D306</f>
        <v/>
      </c>
      <c r="F306" s="29">
        <f>F305*(1+INDEX(Settings!$G$13:$G$16,MATCH(C306,Settings!$A$13:$A$16,0)))+D306</f>
        <v/>
      </c>
      <c r="G306" s="29">
        <f>G305*(1+INDEX(Settings!$H$13:$H$16,MATCH(C306,Settings!$A$13:$A$16,0)))+D306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INDEX(Dashboard!$C$12:$C$19,MIN(8,INT((303-1)/60)+1))</f>
        <v/>
      </c>
      <c r="D307" s="29">
        <f>MIN(Dashboard!$C$9,INDEX(Settings!$B$19:$B$58,MIN(40,INT((303-1)/12)+1)))</f>
        <v/>
      </c>
      <c r="E307" s="29">
        <f>E306*(1+INDEX(Settings!$B$13:$B$16,MATCH(C307,Settings!$A$13:$A$16,0)))+D307</f>
        <v/>
      </c>
      <c r="F307" s="29">
        <f>F306*(1+INDEX(Settings!$G$13:$G$16,MATCH(C307,Settings!$A$13:$A$16,0)))+D307</f>
        <v/>
      </c>
      <c r="G307" s="29">
        <f>G306*(1+INDEX(Settings!$H$13:$H$16,MATCH(C307,Settings!$A$13:$A$16,0)))+D307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INDEX(Dashboard!$C$12:$C$19,MIN(8,INT((304-1)/60)+1))</f>
        <v/>
      </c>
      <c r="D308" s="29">
        <f>MIN(Dashboard!$C$9,INDEX(Settings!$B$19:$B$58,MIN(40,INT((304-1)/12)+1)))</f>
        <v/>
      </c>
      <c r="E308" s="29">
        <f>E307*(1+INDEX(Settings!$B$13:$B$16,MATCH(C308,Settings!$A$13:$A$16,0)))+D308</f>
        <v/>
      </c>
      <c r="F308" s="29">
        <f>F307*(1+INDEX(Settings!$G$13:$G$16,MATCH(C308,Settings!$A$13:$A$16,0)))+D308</f>
        <v/>
      </c>
      <c r="G308" s="29">
        <f>G307*(1+INDEX(Settings!$H$13:$H$16,MATCH(C308,Settings!$A$13:$A$16,0)))+D308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INDEX(Dashboard!$C$12:$C$19,MIN(8,INT((305-1)/60)+1))</f>
        <v/>
      </c>
      <c r="D309" s="29">
        <f>MIN(Dashboard!$C$9,INDEX(Settings!$B$19:$B$58,MIN(40,INT((305-1)/12)+1)))</f>
        <v/>
      </c>
      <c r="E309" s="29">
        <f>E308*(1+INDEX(Settings!$B$13:$B$16,MATCH(C309,Settings!$A$13:$A$16,0)))+D309</f>
        <v/>
      </c>
      <c r="F309" s="29">
        <f>F308*(1+INDEX(Settings!$G$13:$G$16,MATCH(C309,Settings!$A$13:$A$16,0)))+D309</f>
        <v/>
      </c>
      <c r="G309" s="29">
        <f>G308*(1+INDEX(Settings!$H$13:$H$16,MATCH(C309,Settings!$A$13:$A$16,0)))+D309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INDEX(Dashboard!$C$12:$C$19,MIN(8,INT((306-1)/60)+1))</f>
        <v/>
      </c>
      <c r="D310" s="29">
        <f>MIN(Dashboard!$C$9,INDEX(Settings!$B$19:$B$58,MIN(40,INT((306-1)/12)+1)))</f>
        <v/>
      </c>
      <c r="E310" s="29">
        <f>E309*(1+INDEX(Settings!$B$13:$B$16,MATCH(C310,Settings!$A$13:$A$16,0)))+D310</f>
        <v/>
      </c>
      <c r="F310" s="29">
        <f>F309*(1+INDEX(Settings!$G$13:$G$16,MATCH(C310,Settings!$A$13:$A$16,0)))+D310</f>
        <v/>
      </c>
      <c r="G310" s="29">
        <f>G309*(1+INDEX(Settings!$H$13:$H$16,MATCH(C310,Settings!$A$13:$A$16,0)))+D310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INDEX(Dashboard!$C$12:$C$19,MIN(8,INT((307-1)/60)+1))</f>
        <v/>
      </c>
      <c r="D311" s="29">
        <f>MIN(Dashboard!$C$9,INDEX(Settings!$B$19:$B$58,MIN(40,INT((307-1)/12)+1)))</f>
        <v/>
      </c>
      <c r="E311" s="29">
        <f>E310*(1+INDEX(Settings!$B$13:$B$16,MATCH(C311,Settings!$A$13:$A$16,0)))+D311</f>
        <v/>
      </c>
      <c r="F311" s="29">
        <f>F310*(1+INDEX(Settings!$G$13:$G$16,MATCH(C311,Settings!$A$13:$A$16,0)))+D311</f>
        <v/>
      </c>
      <c r="G311" s="29">
        <f>G310*(1+INDEX(Settings!$H$13:$H$16,MATCH(C311,Settings!$A$13:$A$16,0)))+D311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INDEX(Dashboard!$C$12:$C$19,MIN(8,INT((308-1)/60)+1))</f>
        <v/>
      </c>
      <c r="D312" s="29">
        <f>MIN(Dashboard!$C$9,INDEX(Settings!$B$19:$B$58,MIN(40,INT((308-1)/12)+1)))</f>
        <v/>
      </c>
      <c r="E312" s="29">
        <f>E311*(1+INDEX(Settings!$B$13:$B$16,MATCH(C312,Settings!$A$13:$A$16,0)))+D312</f>
        <v/>
      </c>
      <c r="F312" s="29">
        <f>F311*(1+INDEX(Settings!$G$13:$G$16,MATCH(C312,Settings!$A$13:$A$16,0)))+D312</f>
        <v/>
      </c>
      <c r="G312" s="29">
        <f>G311*(1+INDEX(Settings!$H$13:$H$16,MATCH(C312,Settings!$A$13:$A$16,0)))+D312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INDEX(Dashboard!$C$12:$C$19,MIN(8,INT((309-1)/60)+1))</f>
        <v/>
      </c>
      <c r="D313" s="29">
        <f>MIN(Dashboard!$C$9,INDEX(Settings!$B$19:$B$58,MIN(40,INT((309-1)/12)+1)))</f>
        <v/>
      </c>
      <c r="E313" s="29">
        <f>E312*(1+INDEX(Settings!$B$13:$B$16,MATCH(C313,Settings!$A$13:$A$16,0)))+D313</f>
        <v/>
      </c>
      <c r="F313" s="29">
        <f>F312*(1+INDEX(Settings!$G$13:$G$16,MATCH(C313,Settings!$A$13:$A$16,0)))+D313</f>
        <v/>
      </c>
      <c r="G313" s="29">
        <f>G312*(1+INDEX(Settings!$H$13:$H$16,MATCH(C313,Settings!$A$13:$A$16,0)))+D313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INDEX(Dashboard!$C$12:$C$19,MIN(8,INT((310-1)/60)+1))</f>
        <v/>
      </c>
      <c r="D314" s="29">
        <f>MIN(Dashboard!$C$9,INDEX(Settings!$B$19:$B$58,MIN(40,INT((310-1)/12)+1)))</f>
        <v/>
      </c>
      <c r="E314" s="29">
        <f>E313*(1+INDEX(Settings!$B$13:$B$16,MATCH(C314,Settings!$A$13:$A$16,0)))+D314</f>
        <v/>
      </c>
      <c r="F314" s="29">
        <f>F313*(1+INDEX(Settings!$G$13:$G$16,MATCH(C314,Settings!$A$13:$A$16,0)))+D314</f>
        <v/>
      </c>
      <c r="G314" s="29">
        <f>G313*(1+INDEX(Settings!$H$13:$H$16,MATCH(C314,Settings!$A$13:$A$16,0)))+D314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INDEX(Dashboard!$C$12:$C$19,MIN(8,INT((311-1)/60)+1))</f>
        <v/>
      </c>
      <c r="D315" s="29">
        <f>MIN(Dashboard!$C$9,INDEX(Settings!$B$19:$B$58,MIN(40,INT((311-1)/12)+1)))</f>
        <v/>
      </c>
      <c r="E315" s="29">
        <f>E314*(1+INDEX(Settings!$B$13:$B$16,MATCH(C315,Settings!$A$13:$A$16,0)))+D315</f>
        <v/>
      </c>
      <c r="F315" s="29">
        <f>F314*(1+INDEX(Settings!$G$13:$G$16,MATCH(C315,Settings!$A$13:$A$16,0)))+D315</f>
        <v/>
      </c>
      <c r="G315" s="29">
        <f>G314*(1+INDEX(Settings!$H$13:$H$16,MATCH(C315,Settings!$A$13:$A$16,0)))+D315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INDEX(Dashboard!$C$12:$C$19,MIN(8,INT((312-1)/60)+1))</f>
        <v/>
      </c>
      <c r="D316" s="29">
        <f>MIN(Dashboard!$C$9,INDEX(Settings!$B$19:$B$58,MIN(40,INT((312-1)/12)+1)))</f>
        <v/>
      </c>
      <c r="E316" s="29">
        <f>E315*(1+INDEX(Settings!$B$13:$B$16,MATCH(C316,Settings!$A$13:$A$16,0)))+D316</f>
        <v/>
      </c>
      <c r="F316" s="29">
        <f>F315*(1+INDEX(Settings!$G$13:$G$16,MATCH(C316,Settings!$A$13:$A$16,0)))+D316</f>
        <v/>
      </c>
      <c r="G316" s="29">
        <f>G315*(1+INDEX(Settings!$H$13:$H$16,MATCH(C316,Settings!$A$13:$A$16,0)))+D316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INDEX(Dashboard!$C$12:$C$19,MIN(8,INT((313-1)/60)+1))</f>
        <v/>
      </c>
      <c r="D317" s="29">
        <f>MIN(Dashboard!$C$9,INDEX(Settings!$B$19:$B$58,MIN(40,INT((313-1)/12)+1)))</f>
        <v/>
      </c>
      <c r="E317" s="29">
        <f>E316*(1+INDEX(Settings!$B$13:$B$16,MATCH(C317,Settings!$A$13:$A$16,0)))+D317</f>
        <v/>
      </c>
      <c r="F317" s="29">
        <f>F316*(1+INDEX(Settings!$G$13:$G$16,MATCH(C317,Settings!$A$13:$A$16,0)))+D317</f>
        <v/>
      </c>
      <c r="G317" s="29">
        <f>G316*(1+INDEX(Settings!$H$13:$H$16,MATCH(C317,Settings!$A$13:$A$16,0)))+D317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INDEX(Dashboard!$C$12:$C$19,MIN(8,INT((314-1)/60)+1))</f>
        <v/>
      </c>
      <c r="D318" s="29">
        <f>MIN(Dashboard!$C$9,INDEX(Settings!$B$19:$B$58,MIN(40,INT((314-1)/12)+1)))</f>
        <v/>
      </c>
      <c r="E318" s="29">
        <f>E317*(1+INDEX(Settings!$B$13:$B$16,MATCH(C318,Settings!$A$13:$A$16,0)))+D318</f>
        <v/>
      </c>
      <c r="F318" s="29">
        <f>F317*(1+INDEX(Settings!$G$13:$G$16,MATCH(C318,Settings!$A$13:$A$16,0)))+D318</f>
        <v/>
      </c>
      <c r="G318" s="29">
        <f>G317*(1+INDEX(Settings!$H$13:$H$16,MATCH(C318,Settings!$A$13:$A$16,0)))+D318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INDEX(Dashboard!$C$12:$C$19,MIN(8,INT((315-1)/60)+1))</f>
        <v/>
      </c>
      <c r="D319" s="29">
        <f>MIN(Dashboard!$C$9,INDEX(Settings!$B$19:$B$58,MIN(40,INT((315-1)/12)+1)))</f>
        <v/>
      </c>
      <c r="E319" s="29">
        <f>E318*(1+INDEX(Settings!$B$13:$B$16,MATCH(C319,Settings!$A$13:$A$16,0)))+D319</f>
        <v/>
      </c>
      <c r="F319" s="29">
        <f>F318*(1+INDEX(Settings!$G$13:$G$16,MATCH(C319,Settings!$A$13:$A$16,0)))+D319</f>
        <v/>
      </c>
      <c r="G319" s="29">
        <f>G318*(1+INDEX(Settings!$H$13:$H$16,MATCH(C319,Settings!$A$13:$A$16,0)))+D319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INDEX(Dashboard!$C$12:$C$19,MIN(8,INT((316-1)/60)+1))</f>
        <v/>
      </c>
      <c r="D320" s="29">
        <f>MIN(Dashboard!$C$9,INDEX(Settings!$B$19:$B$58,MIN(40,INT((316-1)/12)+1)))</f>
        <v/>
      </c>
      <c r="E320" s="29">
        <f>E319*(1+INDEX(Settings!$B$13:$B$16,MATCH(C320,Settings!$A$13:$A$16,0)))+D320</f>
        <v/>
      </c>
      <c r="F320" s="29">
        <f>F319*(1+INDEX(Settings!$G$13:$G$16,MATCH(C320,Settings!$A$13:$A$16,0)))+D320</f>
        <v/>
      </c>
      <c r="G320" s="29">
        <f>G319*(1+INDEX(Settings!$H$13:$H$16,MATCH(C320,Settings!$A$13:$A$16,0)))+D320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INDEX(Dashboard!$C$12:$C$19,MIN(8,INT((317-1)/60)+1))</f>
        <v/>
      </c>
      <c r="D321" s="29">
        <f>MIN(Dashboard!$C$9,INDEX(Settings!$B$19:$B$58,MIN(40,INT((317-1)/12)+1)))</f>
        <v/>
      </c>
      <c r="E321" s="29">
        <f>E320*(1+INDEX(Settings!$B$13:$B$16,MATCH(C321,Settings!$A$13:$A$16,0)))+D321</f>
        <v/>
      </c>
      <c r="F321" s="29">
        <f>F320*(1+INDEX(Settings!$G$13:$G$16,MATCH(C321,Settings!$A$13:$A$16,0)))+D321</f>
        <v/>
      </c>
      <c r="G321" s="29">
        <f>G320*(1+INDEX(Settings!$H$13:$H$16,MATCH(C321,Settings!$A$13:$A$16,0)))+D321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INDEX(Dashboard!$C$12:$C$19,MIN(8,INT((318-1)/60)+1))</f>
        <v/>
      </c>
      <c r="D322" s="29">
        <f>MIN(Dashboard!$C$9,INDEX(Settings!$B$19:$B$58,MIN(40,INT((318-1)/12)+1)))</f>
        <v/>
      </c>
      <c r="E322" s="29">
        <f>E321*(1+INDEX(Settings!$B$13:$B$16,MATCH(C322,Settings!$A$13:$A$16,0)))+D322</f>
        <v/>
      </c>
      <c r="F322" s="29">
        <f>F321*(1+INDEX(Settings!$G$13:$G$16,MATCH(C322,Settings!$A$13:$A$16,0)))+D322</f>
        <v/>
      </c>
      <c r="G322" s="29">
        <f>G321*(1+INDEX(Settings!$H$13:$H$16,MATCH(C322,Settings!$A$13:$A$16,0)))+D322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INDEX(Dashboard!$C$12:$C$19,MIN(8,INT((319-1)/60)+1))</f>
        <v/>
      </c>
      <c r="D323" s="29">
        <f>MIN(Dashboard!$C$9,INDEX(Settings!$B$19:$B$58,MIN(40,INT((319-1)/12)+1)))</f>
        <v/>
      </c>
      <c r="E323" s="29">
        <f>E322*(1+INDEX(Settings!$B$13:$B$16,MATCH(C323,Settings!$A$13:$A$16,0)))+D323</f>
        <v/>
      </c>
      <c r="F323" s="29">
        <f>F322*(1+INDEX(Settings!$G$13:$G$16,MATCH(C323,Settings!$A$13:$A$16,0)))+D323</f>
        <v/>
      </c>
      <c r="G323" s="29">
        <f>G322*(1+INDEX(Settings!$H$13:$H$16,MATCH(C323,Settings!$A$13:$A$16,0)))+D323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INDEX(Dashboard!$C$12:$C$19,MIN(8,INT((320-1)/60)+1))</f>
        <v/>
      </c>
      <c r="D324" s="29">
        <f>MIN(Dashboard!$C$9,INDEX(Settings!$B$19:$B$58,MIN(40,INT((320-1)/12)+1)))</f>
        <v/>
      </c>
      <c r="E324" s="29">
        <f>E323*(1+INDEX(Settings!$B$13:$B$16,MATCH(C324,Settings!$A$13:$A$16,0)))+D324</f>
        <v/>
      </c>
      <c r="F324" s="29">
        <f>F323*(1+INDEX(Settings!$G$13:$G$16,MATCH(C324,Settings!$A$13:$A$16,0)))+D324</f>
        <v/>
      </c>
      <c r="G324" s="29">
        <f>G323*(1+INDEX(Settings!$H$13:$H$16,MATCH(C324,Settings!$A$13:$A$16,0)))+D324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INDEX(Dashboard!$C$12:$C$19,MIN(8,INT((321-1)/60)+1))</f>
        <v/>
      </c>
      <c r="D325" s="29">
        <f>MIN(Dashboard!$C$9,INDEX(Settings!$B$19:$B$58,MIN(40,INT((321-1)/12)+1)))</f>
        <v/>
      </c>
      <c r="E325" s="29">
        <f>E324*(1+INDEX(Settings!$B$13:$B$16,MATCH(C325,Settings!$A$13:$A$16,0)))+D325</f>
        <v/>
      </c>
      <c r="F325" s="29">
        <f>F324*(1+INDEX(Settings!$G$13:$G$16,MATCH(C325,Settings!$A$13:$A$16,0)))+D325</f>
        <v/>
      </c>
      <c r="G325" s="29">
        <f>G324*(1+INDEX(Settings!$H$13:$H$16,MATCH(C325,Settings!$A$13:$A$16,0)))+D325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INDEX(Dashboard!$C$12:$C$19,MIN(8,INT((322-1)/60)+1))</f>
        <v/>
      </c>
      <c r="D326" s="29">
        <f>MIN(Dashboard!$C$9,INDEX(Settings!$B$19:$B$58,MIN(40,INT((322-1)/12)+1)))</f>
        <v/>
      </c>
      <c r="E326" s="29">
        <f>E325*(1+INDEX(Settings!$B$13:$B$16,MATCH(C326,Settings!$A$13:$A$16,0)))+D326</f>
        <v/>
      </c>
      <c r="F326" s="29">
        <f>F325*(1+INDEX(Settings!$G$13:$G$16,MATCH(C326,Settings!$A$13:$A$16,0)))+D326</f>
        <v/>
      </c>
      <c r="G326" s="29">
        <f>G325*(1+INDEX(Settings!$H$13:$H$16,MATCH(C326,Settings!$A$13:$A$16,0)))+D326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INDEX(Dashboard!$C$12:$C$19,MIN(8,INT((323-1)/60)+1))</f>
        <v/>
      </c>
      <c r="D327" s="29">
        <f>MIN(Dashboard!$C$9,INDEX(Settings!$B$19:$B$58,MIN(40,INT((323-1)/12)+1)))</f>
        <v/>
      </c>
      <c r="E327" s="29">
        <f>E326*(1+INDEX(Settings!$B$13:$B$16,MATCH(C327,Settings!$A$13:$A$16,0)))+D327</f>
        <v/>
      </c>
      <c r="F327" s="29">
        <f>F326*(1+INDEX(Settings!$G$13:$G$16,MATCH(C327,Settings!$A$13:$A$16,0)))+D327</f>
        <v/>
      </c>
      <c r="G327" s="29">
        <f>G326*(1+INDEX(Settings!$H$13:$H$16,MATCH(C327,Settings!$A$13:$A$16,0)))+D327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INDEX(Dashboard!$C$12:$C$19,MIN(8,INT((324-1)/60)+1))</f>
        <v/>
      </c>
      <c r="D328" s="29">
        <f>MIN(Dashboard!$C$9,INDEX(Settings!$B$19:$B$58,MIN(40,INT((324-1)/12)+1)))</f>
        <v/>
      </c>
      <c r="E328" s="29">
        <f>E327*(1+INDEX(Settings!$B$13:$B$16,MATCH(C328,Settings!$A$13:$A$16,0)))+D328</f>
        <v/>
      </c>
      <c r="F328" s="29">
        <f>F327*(1+INDEX(Settings!$G$13:$G$16,MATCH(C328,Settings!$A$13:$A$16,0)))+D328</f>
        <v/>
      </c>
      <c r="G328" s="29">
        <f>G327*(1+INDEX(Settings!$H$13:$H$16,MATCH(C328,Settings!$A$13:$A$16,0)))+D328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INDEX(Dashboard!$C$12:$C$19,MIN(8,INT((325-1)/60)+1))</f>
        <v/>
      </c>
      <c r="D329" s="29">
        <f>MIN(Dashboard!$C$9,INDEX(Settings!$B$19:$B$58,MIN(40,INT((325-1)/12)+1)))</f>
        <v/>
      </c>
      <c r="E329" s="29">
        <f>E328*(1+INDEX(Settings!$B$13:$B$16,MATCH(C329,Settings!$A$13:$A$16,0)))+D329</f>
        <v/>
      </c>
      <c r="F329" s="29">
        <f>F328*(1+INDEX(Settings!$G$13:$G$16,MATCH(C329,Settings!$A$13:$A$16,0)))+D329</f>
        <v/>
      </c>
      <c r="G329" s="29">
        <f>G328*(1+INDEX(Settings!$H$13:$H$16,MATCH(C329,Settings!$A$13:$A$16,0)))+D329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INDEX(Dashboard!$C$12:$C$19,MIN(8,INT((326-1)/60)+1))</f>
        <v/>
      </c>
      <c r="D330" s="29">
        <f>MIN(Dashboard!$C$9,INDEX(Settings!$B$19:$B$58,MIN(40,INT((326-1)/12)+1)))</f>
        <v/>
      </c>
      <c r="E330" s="29">
        <f>E329*(1+INDEX(Settings!$B$13:$B$16,MATCH(C330,Settings!$A$13:$A$16,0)))+D330</f>
        <v/>
      </c>
      <c r="F330" s="29">
        <f>F329*(1+INDEX(Settings!$G$13:$G$16,MATCH(C330,Settings!$A$13:$A$16,0)))+D330</f>
        <v/>
      </c>
      <c r="G330" s="29">
        <f>G329*(1+INDEX(Settings!$H$13:$H$16,MATCH(C330,Settings!$A$13:$A$16,0)))+D330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INDEX(Dashboard!$C$12:$C$19,MIN(8,INT((327-1)/60)+1))</f>
        <v/>
      </c>
      <c r="D331" s="29">
        <f>MIN(Dashboard!$C$9,INDEX(Settings!$B$19:$B$58,MIN(40,INT((327-1)/12)+1)))</f>
        <v/>
      </c>
      <c r="E331" s="29">
        <f>E330*(1+INDEX(Settings!$B$13:$B$16,MATCH(C331,Settings!$A$13:$A$16,0)))+D331</f>
        <v/>
      </c>
      <c r="F331" s="29">
        <f>F330*(1+INDEX(Settings!$G$13:$G$16,MATCH(C331,Settings!$A$13:$A$16,0)))+D331</f>
        <v/>
      </c>
      <c r="G331" s="29">
        <f>G330*(1+INDEX(Settings!$H$13:$H$16,MATCH(C331,Settings!$A$13:$A$16,0)))+D331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INDEX(Dashboard!$C$12:$C$19,MIN(8,INT((328-1)/60)+1))</f>
        <v/>
      </c>
      <c r="D332" s="29">
        <f>MIN(Dashboard!$C$9,INDEX(Settings!$B$19:$B$58,MIN(40,INT((328-1)/12)+1)))</f>
        <v/>
      </c>
      <c r="E332" s="29">
        <f>E331*(1+INDEX(Settings!$B$13:$B$16,MATCH(C332,Settings!$A$13:$A$16,0)))+D332</f>
        <v/>
      </c>
      <c r="F332" s="29">
        <f>F331*(1+INDEX(Settings!$G$13:$G$16,MATCH(C332,Settings!$A$13:$A$16,0)))+D332</f>
        <v/>
      </c>
      <c r="G332" s="29">
        <f>G331*(1+INDEX(Settings!$H$13:$H$16,MATCH(C332,Settings!$A$13:$A$16,0)))+D332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INDEX(Dashboard!$C$12:$C$19,MIN(8,INT((329-1)/60)+1))</f>
        <v/>
      </c>
      <c r="D333" s="29">
        <f>MIN(Dashboard!$C$9,INDEX(Settings!$B$19:$B$58,MIN(40,INT((329-1)/12)+1)))</f>
        <v/>
      </c>
      <c r="E333" s="29">
        <f>E332*(1+INDEX(Settings!$B$13:$B$16,MATCH(C333,Settings!$A$13:$A$16,0)))+D333</f>
        <v/>
      </c>
      <c r="F333" s="29">
        <f>F332*(1+INDEX(Settings!$G$13:$G$16,MATCH(C333,Settings!$A$13:$A$16,0)))+D333</f>
        <v/>
      </c>
      <c r="G333" s="29">
        <f>G332*(1+INDEX(Settings!$H$13:$H$16,MATCH(C333,Settings!$A$13:$A$16,0)))+D333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INDEX(Dashboard!$C$12:$C$19,MIN(8,INT((330-1)/60)+1))</f>
        <v/>
      </c>
      <c r="D334" s="29">
        <f>MIN(Dashboard!$C$9,INDEX(Settings!$B$19:$B$58,MIN(40,INT((330-1)/12)+1)))</f>
        <v/>
      </c>
      <c r="E334" s="29">
        <f>E333*(1+INDEX(Settings!$B$13:$B$16,MATCH(C334,Settings!$A$13:$A$16,0)))+D334</f>
        <v/>
      </c>
      <c r="F334" s="29">
        <f>F333*(1+INDEX(Settings!$G$13:$G$16,MATCH(C334,Settings!$A$13:$A$16,0)))+D334</f>
        <v/>
      </c>
      <c r="G334" s="29">
        <f>G333*(1+INDEX(Settings!$H$13:$H$16,MATCH(C334,Settings!$A$13:$A$16,0)))+D334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INDEX(Dashboard!$C$12:$C$19,MIN(8,INT((331-1)/60)+1))</f>
        <v/>
      </c>
      <c r="D335" s="29">
        <f>MIN(Dashboard!$C$9,INDEX(Settings!$B$19:$B$58,MIN(40,INT((331-1)/12)+1)))</f>
        <v/>
      </c>
      <c r="E335" s="29">
        <f>E334*(1+INDEX(Settings!$B$13:$B$16,MATCH(C335,Settings!$A$13:$A$16,0)))+D335</f>
        <v/>
      </c>
      <c r="F335" s="29">
        <f>F334*(1+INDEX(Settings!$G$13:$G$16,MATCH(C335,Settings!$A$13:$A$16,0)))+D335</f>
        <v/>
      </c>
      <c r="G335" s="29">
        <f>G334*(1+INDEX(Settings!$H$13:$H$16,MATCH(C335,Settings!$A$13:$A$16,0)))+D335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INDEX(Dashboard!$C$12:$C$19,MIN(8,INT((332-1)/60)+1))</f>
        <v/>
      </c>
      <c r="D336" s="29">
        <f>MIN(Dashboard!$C$9,INDEX(Settings!$B$19:$B$58,MIN(40,INT((332-1)/12)+1)))</f>
        <v/>
      </c>
      <c r="E336" s="29">
        <f>E335*(1+INDEX(Settings!$B$13:$B$16,MATCH(C336,Settings!$A$13:$A$16,0)))+D336</f>
        <v/>
      </c>
      <c r="F336" s="29">
        <f>F335*(1+INDEX(Settings!$G$13:$G$16,MATCH(C336,Settings!$A$13:$A$16,0)))+D336</f>
        <v/>
      </c>
      <c r="G336" s="29">
        <f>G335*(1+INDEX(Settings!$H$13:$H$16,MATCH(C336,Settings!$A$13:$A$16,0)))+D336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INDEX(Dashboard!$C$12:$C$19,MIN(8,INT((333-1)/60)+1))</f>
        <v/>
      </c>
      <c r="D337" s="29">
        <f>MIN(Dashboard!$C$9,INDEX(Settings!$B$19:$B$58,MIN(40,INT((333-1)/12)+1)))</f>
        <v/>
      </c>
      <c r="E337" s="29">
        <f>E336*(1+INDEX(Settings!$B$13:$B$16,MATCH(C337,Settings!$A$13:$A$16,0)))+D337</f>
        <v/>
      </c>
      <c r="F337" s="29">
        <f>F336*(1+INDEX(Settings!$G$13:$G$16,MATCH(C337,Settings!$A$13:$A$16,0)))+D337</f>
        <v/>
      </c>
      <c r="G337" s="29">
        <f>G336*(1+INDEX(Settings!$H$13:$H$16,MATCH(C337,Settings!$A$13:$A$16,0)))+D337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INDEX(Dashboard!$C$12:$C$19,MIN(8,INT((334-1)/60)+1))</f>
        <v/>
      </c>
      <c r="D338" s="29">
        <f>MIN(Dashboard!$C$9,INDEX(Settings!$B$19:$B$58,MIN(40,INT((334-1)/12)+1)))</f>
        <v/>
      </c>
      <c r="E338" s="29">
        <f>E337*(1+INDEX(Settings!$B$13:$B$16,MATCH(C338,Settings!$A$13:$A$16,0)))+D338</f>
        <v/>
      </c>
      <c r="F338" s="29">
        <f>F337*(1+INDEX(Settings!$G$13:$G$16,MATCH(C338,Settings!$A$13:$A$16,0)))+D338</f>
        <v/>
      </c>
      <c r="G338" s="29">
        <f>G337*(1+INDEX(Settings!$H$13:$H$16,MATCH(C338,Settings!$A$13:$A$16,0)))+D338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INDEX(Dashboard!$C$12:$C$19,MIN(8,INT((335-1)/60)+1))</f>
        <v/>
      </c>
      <c r="D339" s="29">
        <f>MIN(Dashboard!$C$9,INDEX(Settings!$B$19:$B$58,MIN(40,INT((335-1)/12)+1)))</f>
        <v/>
      </c>
      <c r="E339" s="29">
        <f>E338*(1+INDEX(Settings!$B$13:$B$16,MATCH(C339,Settings!$A$13:$A$16,0)))+D339</f>
        <v/>
      </c>
      <c r="F339" s="29">
        <f>F338*(1+INDEX(Settings!$G$13:$G$16,MATCH(C339,Settings!$A$13:$A$16,0)))+D339</f>
        <v/>
      </c>
      <c r="G339" s="29">
        <f>G338*(1+INDEX(Settings!$H$13:$H$16,MATCH(C339,Settings!$A$13:$A$16,0)))+D339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INDEX(Dashboard!$C$12:$C$19,MIN(8,INT((336-1)/60)+1))</f>
        <v/>
      </c>
      <c r="D340" s="29">
        <f>MIN(Dashboard!$C$9,INDEX(Settings!$B$19:$B$58,MIN(40,INT((336-1)/12)+1)))</f>
        <v/>
      </c>
      <c r="E340" s="29">
        <f>E339*(1+INDEX(Settings!$B$13:$B$16,MATCH(C340,Settings!$A$13:$A$16,0)))+D340</f>
        <v/>
      </c>
      <c r="F340" s="29">
        <f>F339*(1+INDEX(Settings!$G$13:$G$16,MATCH(C340,Settings!$A$13:$A$16,0)))+D340</f>
        <v/>
      </c>
      <c r="G340" s="29">
        <f>G339*(1+INDEX(Settings!$H$13:$H$16,MATCH(C340,Settings!$A$13:$A$16,0)))+D340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INDEX(Dashboard!$C$12:$C$19,MIN(8,INT((337-1)/60)+1))</f>
        <v/>
      </c>
      <c r="D341" s="29">
        <f>MIN(Dashboard!$C$9,INDEX(Settings!$B$19:$B$58,MIN(40,INT((337-1)/12)+1)))</f>
        <v/>
      </c>
      <c r="E341" s="29">
        <f>E340*(1+INDEX(Settings!$B$13:$B$16,MATCH(C341,Settings!$A$13:$A$16,0)))+D341</f>
        <v/>
      </c>
      <c r="F341" s="29">
        <f>F340*(1+INDEX(Settings!$G$13:$G$16,MATCH(C341,Settings!$A$13:$A$16,0)))+D341</f>
        <v/>
      </c>
      <c r="G341" s="29">
        <f>G340*(1+INDEX(Settings!$H$13:$H$16,MATCH(C341,Settings!$A$13:$A$16,0)))+D341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INDEX(Dashboard!$C$12:$C$19,MIN(8,INT((338-1)/60)+1))</f>
        <v/>
      </c>
      <c r="D342" s="29">
        <f>MIN(Dashboard!$C$9,INDEX(Settings!$B$19:$B$58,MIN(40,INT((338-1)/12)+1)))</f>
        <v/>
      </c>
      <c r="E342" s="29">
        <f>E341*(1+INDEX(Settings!$B$13:$B$16,MATCH(C342,Settings!$A$13:$A$16,0)))+D342</f>
        <v/>
      </c>
      <c r="F342" s="29">
        <f>F341*(1+INDEX(Settings!$G$13:$G$16,MATCH(C342,Settings!$A$13:$A$16,0)))+D342</f>
        <v/>
      </c>
      <c r="G342" s="29">
        <f>G341*(1+INDEX(Settings!$H$13:$H$16,MATCH(C342,Settings!$A$13:$A$16,0)))+D342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INDEX(Dashboard!$C$12:$C$19,MIN(8,INT((339-1)/60)+1))</f>
        <v/>
      </c>
      <c r="D343" s="29">
        <f>MIN(Dashboard!$C$9,INDEX(Settings!$B$19:$B$58,MIN(40,INT((339-1)/12)+1)))</f>
        <v/>
      </c>
      <c r="E343" s="29">
        <f>E342*(1+INDEX(Settings!$B$13:$B$16,MATCH(C343,Settings!$A$13:$A$16,0)))+D343</f>
        <v/>
      </c>
      <c r="F343" s="29">
        <f>F342*(1+INDEX(Settings!$G$13:$G$16,MATCH(C343,Settings!$A$13:$A$16,0)))+D343</f>
        <v/>
      </c>
      <c r="G343" s="29">
        <f>G342*(1+INDEX(Settings!$H$13:$H$16,MATCH(C343,Settings!$A$13:$A$16,0)))+D343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INDEX(Dashboard!$C$12:$C$19,MIN(8,INT((340-1)/60)+1))</f>
        <v/>
      </c>
      <c r="D344" s="29">
        <f>MIN(Dashboard!$C$9,INDEX(Settings!$B$19:$B$58,MIN(40,INT((340-1)/12)+1)))</f>
        <v/>
      </c>
      <c r="E344" s="29">
        <f>E343*(1+INDEX(Settings!$B$13:$B$16,MATCH(C344,Settings!$A$13:$A$16,0)))+D344</f>
        <v/>
      </c>
      <c r="F344" s="29">
        <f>F343*(1+INDEX(Settings!$G$13:$G$16,MATCH(C344,Settings!$A$13:$A$16,0)))+D344</f>
        <v/>
      </c>
      <c r="G344" s="29">
        <f>G343*(1+INDEX(Settings!$H$13:$H$16,MATCH(C344,Settings!$A$13:$A$16,0)))+D344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INDEX(Dashboard!$C$12:$C$19,MIN(8,INT((341-1)/60)+1))</f>
        <v/>
      </c>
      <c r="D345" s="29">
        <f>MIN(Dashboard!$C$9,INDEX(Settings!$B$19:$B$58,MIN(40,INT((341-1)/12)+1)))</f>
        <v/>
      </c>
      <c r="E345" s="29">
        <f>E344*(1+INDEX(Settings!$B$13:$B$16,MATCH(C345,Settings!$A$13:$A$16,0)))+D345</f>
        <v/>
      </c>
      <c r="F345" s="29">
        <f>F344*(1+INDEX(Settings!$G$13:$G$16,MATCH(C345,Settings!$A$13:$A$16,0)))+D345</f>
        <v/>
      </c>
      <c r="G345" s="29">
        <f>G344*(1+INDEX(Settings!$H$13:$H$16,MATCH(C345,Settings!$A$13:$A$16,0)))+D345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INDEX(Dashboard!$C$12:$C$19,MIN(8,INT((342-1)/60)+1))</f>
        <v/>
      </c>
      <c r="D346" s="29">
        <f>MIN(Dashboard!$C$9,INDEX(Settings!$B$19:$B$58,MIN(40,INT((342-1)/12)+1)))</f>
        <v/>
      </c>
      <c r="E346" s="29">
        <f>E345*(1+INDEX(Settings!$B$13:$B$16,MATCH(C346,Settings!$A$13:$A$16,0)))+D346</f>
        <v/>
      </c>
      <c r="F346" s="29">
        <f>F345*(1+INDEX(Settings!$G$13:$G$16,MATCH(C346,Settings!$A$13:$A$16,0)))+D346</f>
        <v/>
      </c>
      <c r="G346" s="29">
        <f>G345*(1+INDEX(Settings!$H$13:$H$16,MATCH(C346,Settings!$A$13:$A$16,0)))+D346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INDEX(Dashboard!$C$12:$C$19,MIN(8,INT((343-1)/60)+1))</f>
        <v/>
      </c>
      <c r="D347" s="29">
        <f>MIN(Dashboard!$C$9,INDEX(Settings!$B$19:$B$58,MIN(40,INT((343-1)/12)+1)))</f>
        <v/>
      </c>
      <c r="E347" s="29">
        <f>E346*(1+INDEX(Settings!$B$13:$B$16,MATCH(C347,Settings!$A$13:$A$16,0)))+D347</f>
        <v/>
      </c>
      <c r="F347" s="29">
        <f>F346*(1+INDEX(Settings!$G$13:$G$16,MATCH(C347,Settings!$A$13:$A$16,0)))+D347</f>
        <v/>
      </c>
      <c r="G347" s="29">
        <f>G346*(1+INDEX(Settings!$H$13:$H$16,MATCH(C347,Settings!$A$13:$A$16,0)))+D347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INDEX(Dashboard!$C$12:$C$19,MIN(8,INT((344-1)/60)+1))</f>
        <v/>
      </c>
      <c r="D348" s="29">
        <f>MIN(Dashboard!$C$9,INDEX(Settings!$B$19:$B$58,MIN(40,INT((344-1)/12)+1)))</f>
        <v/>
      </c>
      <c r="E348" s="29">
        <f>E347*(1+INDEX(Settings!$B$13:$B$16,MATCH(C348,Settings!$A$13:$A$16,0)))+D348</f>
        <v/>
      </c>
      <c r="F348" s="29">
        <f>F347*(1+INDEX(Settings!$G$13:$G$16,MATCH(C348,Settings!$A$13:$A$16,0)))+D348</f>
        <v/>
      </c>
      <c r="G348" s="29">
        <f>G347*(1+INDEX(Settings!$H$13:$H$16,MATCH(C348,Settings!$A$13:$A$16,0)))+D348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INDEX(Dashboard!$C$12:$C$19,MIN(8,INT((345-1)/60)+1))</f>
        <v/>
      </c>
      <c r="D349" s="29">
        <f>MIN(Dashboard!$C$9,INDEX(Settings!$B$19:$B$58,MIN(40,INT((345-1)/12)+1)))</f>
        <v/>
      </c>
      <c r="E349" s="29">
        <f>E348*(1+INDEX(Settings!$B$13:$B$16,MATCH(C349,Settings!$A$13:$A$16,0)))+D349</f>
        <v/>
      </c>
      <c r="F349" s="29">
        <f>F348*(1+INDEX(Settings!$G$13:$G$16,MATCH(C349,Settings!$A$13:$A$16,0)))+D349</f>
        <v/>
      </c>
      <c r="G349" s="29">
        <f>G348*(1+INDEX(Settings!$H$13:$H$16,MATCH(C349,Settings!$A$13:$A$16,0)))+D349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INDEX(Dashboard!$C$12:$C$19,MIN(8,INT((346-1)/60)+1))</f>
        <v/>
      </c>
      <c r="D350" s="29">
        <f>MIN(Dashboard!$C$9,INDEX(Settings!$B$19:$B$58,MIN(40,INT((346-1)/12)+1)))</f>
        <v/>
      </c>
      <c r="E350" s="29">
        <f>E349*(1+INDEX(Settings!$B$13:$B$16,MATCH(C350,Settings!$A$13:$A$16,0)))+D350</f>
        <v/>
      </c>
      <c r="F350" s="29">
        <f>F349*(1+INDEX(Settings!$G$13:$G$16,MATCH(C350,Settings!$A$13:$A$16,0)))+D350</f>
        <v/>
      </c>
      <c r="G350" s="29">
        <f>G349*(1+INDEX(Settings!$H$13:$H$16,MATCH(C350,Settings!$A$13:$A$16,0)))+D350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INDEX(Dashboard!$C$12:$C$19,MIN(8,INT((347-1)/60)+1))</f>
        <v/>
      </c>
      <c r="D351" s="29">
        <f>MIN(Dashboard!$C$9,INDEX(Settings!$B$19:$B$58,MIN(40,INT((347-1)/12)+1)))</f>
        <v/>
      </c>
      <c r="E351" s="29">
        <f>E350*(1+INDEX(Settings!$B$13:$B$16,MATCH(C351,Settings!$A$13:$A$16,0)))+D351</f>
        <v/>
      </c>
      <c r="F351" s="29">
        <f>F350*(1+INDEX(Settings!$G$13:$G$16,MATCH(C351,Settings!$A$13:$A$16,0)))+D351</f>
        <v/>
      </c>
      <c r="G351" s="29">
        <f>G350*(1+INDEX(Settings!$H$13:$H$16,MATCH(C351,Settings!$A$13:$A$16,0)))+D351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INDEX(Dashboard!$C$12:$C$19,MIN(8,INT((348-1)/60)+1))</f>
        <v/>
      </c>
      <c r="D352" s="29">
        <f>MIN(Dashboard!$C$9,INDEX(Settings!$B$19:$B$58,MIN(40,INT((348-1)/12)+1)))</f>
        <v/>
      </c>
      <c r="E352" s="29">
        <f>E351*(1+INDEX(Settings!$B$13:$B$16,MATCH(C352,Settings!$A$13:$A$16,0)))+D352</f>
        <v/>
      </c>
      <c r="F352" s="29">
        <f>F351*(1+INDEX(Settings!$G$13:$G$16,MATCH(C352,Settings!$A$13:$A$16,0)))+D352</f>
        <v/>
      </c>
      <c r="G352" s="29">
        <f>G351*(1+INDEX(Settings!$H$13:$H$16,MATCH(C352,Settings!$A$13:$A$16,0)))+D352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INDEX(Dashboard!$C$12:$C$19,MIN(8,INT((349-1)/60)+1))</f>
        <v/>
      </c>
      <c r="D353" s="29">
        <f>MIN(Dashboard!$C$9,INDEX(Settings!$B$19:$B$58,MIN(40,INT((349-1)/12)+1)))</f>
        <v/>
      </c>
      <c r="E353" s="29">
        <f>E352*(1+INDEX(Settings!$B$13:$B$16,MATCH(C353,Settings!$A$13:$A$16,0)))+D353</f>
        <v/>
      </c>
      <c r="F353" s="29">
        <f>F352*(1+INDEX(Settings!$G$13:$G$16,MATCH(C353,Settings!$A$13:$A$16,0)))+D353</f>
        <v/>
      </c>
      <c r="G353" s="29">
        <f>G352*(1+INDEX(Settings!$H$13:$H$16,MATCH(C353,Settings!$A$13:$A$16,0)))+D353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INDEX(Dashboard!$C$12:$C$19,MIN(8,INT((350-1)/60)+1))</f>
        <v/>
      </c>
      <c r="D354" s="29">
        <f>MIN(Dashboard!$C$9,INDEX(Settings!$B$19:$B$58,MIN(40,INT((350-1)/12)+1)))</f>
        <v/>
      </c>
      <c r="E354" s="29">
        <f>E353*(1+INDEX(Settings!$B$13:$B$16,MATCH(C354,Settings!$A$13:$A$16,0)))+D354</f>
        <v/>
      </c>
      <c r="F354" s="29">
        <f>F353*(1+INDEX(Settings!$G$13:$G$16,MATCH(C354,Settings!$A$13:$A$16,0)))+D354</f>
        <v/>
      </c>
      <c r="G354" s="29">
        <f>G353*(1+INDEX(Settings!$H$13:$H$16,MATCH(C354,Settings!$A$13:$A$16,0)))+D354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INDEX(Dashboard!$C$12:$C$19,MIN(8,INT((351-1)/60)+1))</f>
        <v/>
      </c>
      <c r="D355" s="29">
        <f>MIN(Dashboard!$C$9,INDEX(Settings!$B$19:$B$58,MIN(40,INT((351-1)/12)+1)))</f>
        <v/>
      </c>
      <c r="E355" s="29">
        <f>E354*(1+INDEX(Settings!$B$13:$B$16,MATCH(C355,Settings!$A$13:$A$16,0)))+D355</f>
        <v/>
      </c>
      <c r="F355" s="29">
        <f>F354*(1+INDEX(Settings!$G$13:$G$16,MATCH(C355,Settings!$A$13:$A$16,0)))+D355</f>
        <v/>
      </c>
      <c r="G355" s="29">
        <f>G354*(1+INDEX(Settings!$H$13:$H$16,MATCH(C355,Settings!$A$13:$A$16,0)))+D355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INDEX(Dashboard!$C$12:$C$19,MIN(8,INT((352-1)/60)+1))</f>
        <v/>
      </c>
      <c r="D356" s="29">
        <f>MIN(Dashboard!$C$9,INDEX(Settings!$B$19:$B$58,MIN(40,INT((352-1)/12)+1)))</f>
        <v/>
      </c>
      <c r="E356" s="29">
        <f>E355*(1+INDEX(Settings!$B$13:$B$16,MATCH(C356,Settings!$A$13:$A$16,0)))+D356</f>
        <v/>
      </c>
      <c r="F356" s="29">
        <f>F355*(1+INDEX(Settings!$G$13:$G$16,MATCH(C356,Settings!$A$13:$A$16,0)))+D356</f>
        <v/>
      </c>
      <c r="G356" s="29">
        <f>G355*(1+INDEX(Settings!$H$13:$H$16,MATCH(C356,Settings!$A$13:$A$16,0)))+D356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INDEX(Dashboard!$C$12:$C$19,MIN(8,INT((353-1)/60)+1))</f>
        <v/>
      </c>
      <c r="D357" s="29">
        <f>MIN(Dashboard!$C$9,INDEX(Settings!$B$19:$B$58,MIN(40,INT((353-1)/12)+1)))</f>
        <v/>
      </c>
      <c r="E357" s="29">
        <f>E356*(1+INDEX(Settings!$B$13:$B$16,MATCH(C357,Settings!$A$13:$A$16,0)))+D357</f>
        <v/>
      </c>
      <c r="F357" s="29">
        <f>F356*(1+INDEX(Settings!$G$13:$G$16,MATCH(C357,Settings!$A$13:$A$16,0)))+D357</f>
        <v/>
      </c>
      <c r="G357" s="29">
        <f>G356*(1+INDEX(Settings!$H$13:$H$16,MATCH(C357,Settings!$A$13:$A$16,0)))+D357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INDEX(Dashboard!$C$12:$C$19,MIN(8,INT((354-1)/60)+1))</f>
        <v/>
      </c>
      <c r="D358" s="29">
        <f>MIN(Dashboard!$C$9,INDEX(Settings!$B$19:$B$58,MIN(40,INT((354-1)/12)+1)))</f>
        <v/>
      </c>
      <c r="E358" s="29">
        <f>E357*(1+INDEX(Settings!$B$13:$B$16,MATCH(C358,Settings!$A$13:$A$16,0)))+D358</f>
        <v/>
      </c>
      <c r="F358" s="29">
        <f>F357*(1+INDEX(Settings!$G$13:$G$16,MATCH(C358,Settings!$A$13:$A$16,0)))+D358</f>
        <v/>
      </c>
      <c r="G358" s="29">
        <f>G357*(1+INDEX(Settings!$H$13:$H$16,MATCH(C358,Settings!$A$13:$A$16,0)))+D358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INDEX(Dashboard!$C$12:$C$19,MIN(8,INT((355-1)/60)+1))</f>
        <v/>
      </c>
      <c r="D359" s="29">
        <f>MIN(Dashboard!$C$9,INDEX(Settings!$B$19:$B$58,MIN(40,INT((355-1)/12)+1)))</f>
        <v/>
      </c>
      <c r="E359" s="29">
        <f>E358*(1+INDEX(Settings!$B$13:$B$16,MATCH(C359,Settings!$A$13:$A$16,0)))+D359</f>
        <v/>
      </c>
      <c r="F359" s="29">
        <f>F358*(1+INDEX(Settings!$G$13:$G$16,MATCH(C359,Settings!$A$13:$A$16,0)))+D359</f>
        <v/>
      </c>
      <c r="G359" s="29">
        <f>G358*(1+INDEX(Settings!$H$13:$H$16,MATCH(C359,Settings!$A$13:$A$16,0)))+D359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INDEX(Dashboard!$C$12:$C$19,MIN(8,INT((356-1)/60)+1))</f>
        <v/>
      </c>
      <c r="D360" s="29">
        <f>MIN(Dashboard!$C$9,INDEX(Settings!$B$19:$B$58,MIN(40,INT((356-1)/12)+1)))</f>
        <v/>
      </c>
      <c r="E360" s="29">
        <f>E359*(1+INDEX(Settings!$B$13:$B$16,MATCH(C360,Settings!$A$13:$A$16,0)))+D360</f>
        <v/>
      </c>
      <c r="F360" s="29">
        <f>F359*(1+INDEX(Settings!$G$13:$G$16,MATCH(C360,Settings!$A$13:$A$16,0)))+D360</f>
        <v/>
      </c>
      <c r="G360" s="29">
        <f>G359*(1+INDEX(Settings!$H$13:$H$16,MATCH(C360,Settings!$A$13:$A$16,0)))+D360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INDEX(Dashboard!$C$12:$C$19,MIN(8,INT((357-1)/60)+1))</f>
        <v/>
      </c>
      <c r="D361" s="29">
        <f>MIN(Dashboard!$C$9,INDEX(Settings!$B$19:$B$58,MIN(40,INT((357-1)/12)+1)))</f>
        <v/>
      </c>
      <c r="E361" s="29">
        <f>E360*(1+INDEX(Settings!$B$13:$B$16,MATCH(C361,Settings!$A$13:$A$16,0)))+D361</f>
        <v/>
      </c>
      <c r="F361" s="29">
        <f>F360*(1+INDEX(Settings!$G$13:$G$16,MATCH(C361,Settings!$A$13:$A$16,0)))+D361</f>
        <v/>
      </c>
      <c r="G361" s="29">
        <f>G360*(1+INDEX(Settings!$H$13:$H$16,MATCH(C361,Settings!$A$13:$A$16,0)))+D361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INDEX(Dashboard!$C$12:$C$19,MIN(8,INT((358-1)/60)+1))</f>
        <v/>
      </c>
      <c r="D362" s="29">
        <f>MIN(Dashboard!$C$9,INDEX(Settings!$B$19:$B$58,MIN(40,INT((358-1)/12)+1)))</f>
        <v/>
      </c>
      <c r="E362" s="29">
        <f>E361*(1+INDEX(Settings!$B$13:$B$16,MATCH(C362,Settings!$A$13:$A$16,0)))+D362</f>
        <v/>
      </c>
      <c r="F362" s="29">
        <f>F361*(1+INDEX(Settings!$G$13:$G$16,MATCH(C362,Settings!$A$13:$A$16,0)))+D362</f>
        <v/>
      </c>
      <c r="G362" s="29">
        <f>G361*(1+INDEX(Settings!$H$13:$H$16,MATCH(C362,Settings!$A$13:$A$16,0)))+D362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INDEX(Dashboard!$C$12:$C$19,MIN(8,INT((359-1)/60)+1))</f>
        <v/>
      </c>
      <c r="D363" s="29">
        <f>MIN(Dashboard!$C$9,INDEX(Settings!$B$19:$B$58,MIN(40,INT((359-1)/12)+1)))</f>
        <v/>
      </c>
      <c r="E363" s="29">
        <f>E362*(1+INDEX(Settings!$B$13:$B$16,MATCH(C363,Settings!$A$13:$A$16,0)))+D363</f>
        <v/>
      </c>
      <c r="F363" s="29">
        <f>F362*(1+INDEX(Settings!$G$13:$G$16,MATCH(C363,Settings!$A$13:$A$16,0)))+D363</f>
        <v/>
      </c>
      <c r="G363" s="29">
        <f>G362*(1+INDEX(Settings!$H$13:$H$16,MATCH(C363,Settings!$A$13:$A$16,0)))+D363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INDEX(Dashboard!$C$12:$C$19,MIN(8,INT((360-1)/60)+1))</f>
        <v/>
      </c>
      <c r="D364" s="29">
        <f>MIN(Dashboard!$C$9,INDEX(Settings!$B$19:$B$58,MIN(40,INT((360-1)/12)+1)))</f>
        <v/>
      </c>
      <c r="E364" s="29">
        <f>E363*(1+INDEX(Settings!$B$13:$B$16,MATCH(C364,Settings!$A$13:$A$16,0)))+D364</f>
        <v/>
      </c>
      <c r="F364" s="29">
        <f>F363*(1+INDEX(Settings!$G$13:$G$16,MATCH(C364,Settings!$A$13:$A$16,0)))+D364</f>
        <v/>
      </c>
      <c r="G364" s="29">
        <f>G363*(1+INDEX(Settings!$H$13:$H$16,MATCH(C364,Settings!$A$13:$A$16,0)))+D364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INDEX(Dashboard!$C$12:$C$19,MIN(8,INT((361-1)/60)+1))</f>
        <v/>
      </c>
      <c r="D365" s="29">
        <f>MIN(Dashboard!$C$9,INDEX(Settings!$B$19:$B$58,MIN(40,INT((361-1)/12)+1)))</f>
        <v/>
      </c>
      <c r="E365" s="29">
        <f>E364*(1+INDEX(Settings!$B$13:$B$16,MATCH(C365,Settings!$A$13:$A$16,0)))+D365</f>
        <v/>
      </c>
      <c r="F365" s="29">
        <f>F364*(1+INDEX(Settings!$G$13:$G$16,MATCH(C365,Settings!$A$13:$A$16,0)))+D365</f>
        <v/>
      </c>
      <c r="G365" s="29">
        <f>G364*(1+INDEX(Settings!$H$13:$H$16,MATCH(C365,Settings!$A$13:$A$16,0)))+D365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INDEX(Dashboard!$C$12:$C$19,MIN(8,INT((362-1)/60)+1))</f>
        <v/>
      </c>
      <c r="D366" s="29">
        <f>MIN(Dashboard!$C$9,INDEX(Settings!$B$19:$B$58,MIN(40,INT((362-1)/12)+1)))</f>
        <v/>
      </c>
      <c r="E366" s="29">
        <f>E365*(1+INDEX(Settings!$B$13:$B$16,MATCH(C366,Settings!$A$13:$A$16,0)))+D366</f>
        <v/>
      </c>
      <c r="F366" s="29">
        <f>F365*(1+INDEX(Settings!$G$13:$G$16,MATCH(C366,Settings!$A$13:$A$16,0)))+D366</f>
        <v/>
      </c>
      <c r="G366" s="29">
        <f>G365*(1+INDEX(Settings!$H$13:$H$16,MATCH(C366,Settings!$A$13:$A$16,0)))+D366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INDEX(Dashboard!$C$12:$C$19,MIN(8,INT((363-1)/60)+1))</f>
        <v/>
      </c>
      <c r="D367" s="29">
        <f>MIN(Dashboard!$C$9,INDEX(Settings!$B$19:$B$58,MIN(40,INT((363-1)/12)+1)))</f>
        <v/>
      </c>
      <c r="E367" s="29">
        <f>E366*(1+INDEX(Settings!$B$13:$B$16,MATCH(C367,Settings!$A$13:$A$16,0)))+D367</f>
        <v/>
      </c>
      <c r="F367" s="29">
        <f>F366*(1+INDEX(Settings!$G$13:$G$16,MATCH(C367,Settings!$A$13:$A$16,0)))+D367</f>
        <v/>
      </c>
      <c r="G367" s="29">
        <f>G366*(1+INDEX(Settings!$H$13:$H$16,MATCH(C367,Settings!$A$13:$A$16,0)))+D367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INDEX(Dashboard!$C$12:$C$19,MIN(8,INT((364-1)/60)+1))</f>
        <v/>
      </c>
      <c r="D368" s="29">
        <f>MIN(Dashboard!$C$9,INDEX(Settings!$B$19:$B$58,MIN(40,INT((364-1)/12)+1)))</f>
        <v/>
      </c>
      <c r="E368" s="29">
        <f>E367*(1+INDEX(Settings!$B$13:$B$16,MATCH(C368,Settings!$A$13:$A$16,0)))+D368</f>
        <v/>
      </c>
      <c r="F368" s="29">
        <f>F367*(1+INDEX(Settings!$G$13:$G$16,MATCH(C368,Settings!$A$13:$A$16,0)))+D368</f>
        <v/>
      </c>
      <c r="G368" s="29">
        <f>G367*(1+INDEX(Settings!$H$13:$H$16,MATCH(C368,Settings!$A$13:$A$16,0)))+D368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INDEX(Dashboard!$C$12:$C$19,MIN(8,INT((365-1)/60)+1))</f>
        <v/>
      </c>
      <c r="D369" s="29">
        <f>MIN(Dashboard!$C$9,INDEX(Settings!$B$19:$B$58,MIN(40,INT((365-1)/12)+1)))</f>
        <v/>
      </c>
      <c r="E369" s="29">
        <f>E368*(1+INDEX(Settings!$B$13:$B$16,MATCH(C369,Settings!$A$13:$A$16,0)))+D369</f>
        <v/>
      </c>
      <c r="F369" s="29">
        <f>F368*(1+INDEX(Settings!$G$13:$G$16,MATCH(C369,Settings!$A$13:$A$16,0)))+D369</f>
        <v/>
      </c>
      <c r="G369" s="29">
        <f>G368*(1+INDEX(Settings!$H$13:$H$16,MATCH(C369,Settings!$A$13:$A$16,0)))+D369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INDEX(Dashboard!$C$12:$C$19,MIN(8,INT((366-1)/60)+1))</f>
        <v/>
      </c>
      <c r="D370" s="29">
        <f>MIN(Dashboard!$C$9,INDEX(Settings!$B$19:$B$58,MIN(40,INT((366-1)/12)+1)))</f>
        <v/>
      </c>
      <c r="E370" s="29">
        <f>E369*(1+INDEX(Settings!$B$13:$B$16,MATCH(C370,Settings!$A$13:$A$16,0)))+D370</f>
        <v/>
      </c>
      <c r="F370" s="29">
        <f>F369*(1+INDEX(Settings!$G$13:$G$16,MATCH(C370,Settings!$A$13:$A$16,0)))+D370</f>
        <v/>
      </c>
      <c r="G370" s="29">
        <f>G369*(1+INDEX(Settings!$H$13:$H$16,MATCH(C370,Settings!$A$13:$A$16,0)))+D370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INDEX(Dashboard!$C$12:$C$19,MIN(8,INT((367-1)/60)+1))</f>
        <v/>
      </c>
      <c r="D371" s="29">
        <f>MIN(Dashboard!$C$9,INDEX(Settings!$B$19:$B$58,MIN(40,INT((367-1)/12)+1)))</f>
        <v/>
      </c>
      <c r="E371" s="29">
        <f>E370*(1+INDEX(Settings!$B$13:$B$16,MATCH(C371,Settings!$A$13:$A$16,0)))+D371</f>
        <v/>
      </c>
      <c r="F371" s="29">
        <f>F370*(1+INDEX(Settings!$G$13:$G$16,MATCH(C371,Settings!$A$13:$A$16,0)))+D371</f>
        <v/>
      </c>
      <c r="G371" s="29">
        <f>G370*(1+INDEX(Settings!$H$13:$H$16,MATCH(C371,Settings!$A$13:$A$16,0)))+D371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INDEX(Dashboard!$C$12:$C$19,MIN(8,INT((368-1)/60)+1))</f>
        <v/>
      </c>
      <c r="D372" s="29">
        <f>MIN(Dashboard!$C$9,INDEX(Settings!$B$19:$B$58,MIN(40,INT((368-1)/12)+1)))</f>
        <v/>
      </c>
      <c r="E372" s="29">
        <f>E371*(1+INDEX(Settings!$B$13:$B$16,MATCH(C372,Settings!$A$13:$A$16,0)))+D372</f>
        <v/>
      </c>
      <c r="F372" s="29">
        <f>F371*(1+INDEX(Settings!$G$13:$G$16,MATCH(C372,Settings!$A$13:$A$16,0)))+D372</f>
        <v/>
      </c>
      <c r="G372" s="29">
        <f>G371*(1+INDEX(Settings!$H$13:$H$16,MATCH(C372,Settings!$A$13:$A$16,0)))+D372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INDEX(Dashboard!$C$12:$C$19,MIN(8,INT((369-1)/60)+1))</f>
        <v/>
      </c>
      <c r="D373" s="29">
        <f>MIN(Dashboard!$C$9,INDEX(Settings!$B$19:$B$58,MIN(40,INT((369-1)/12)+1)))</f>
        <v/>
      </c>
      <c r="E373" s="29">
        <f>E372*(1+INDEX(Settings!$B$13:$B$16,MATCH(C373,Settings!$A$13:$A$16,0)))+D373</f>
        <v/>
      </c>
      <c r="F373" s="29">
        <f>F372*(1+INDEX(Settings!$G$13:$G$16,MATCH(C373,Settings!$A$13:$A$16,0)))+D373</f>
        <v/>
      </c>
      <c r="G373" s="29">
        <f>G372*(1+INDEX(Settings!$H$13:$H$16,MATCH(C373,Settings!$A$13:$A$16,0)))+D373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INDEX(Dashboard!$C$12:$C$19,MIN(8,INT((370-1)/60)+1))</f>
        <v/>
      </c>
      <c r="D374" s="29">
        <f>MIN(Dashboard!$C$9,INDEX(Settings!$B$19:$B$58,MIN(40,INT((370-1)/12)+1)))</f>
        <v/>
      </c>
      <c r="E374" s="29">
        <f>E373*(1+INDEX(Settings!$B$13:$B$16,MATCH(C374,Settings!$A$13:$A$16,0)))+D374</f>
        <v/>
      </c>
      <c r="F374" s="29">
        <f>F373*(1+INDEX(Settings!$G$13:$G$16,MATCH(C374,Settings!$A$13:$A$16,0)))+D374</f>
        <v/>
      </c>
      <c r="G374" s="29">
        <f>G373*(1+INDEX(Settings!$H$13:$H$16,MATCH(C374,Settings!$A$13:$A$16,0)))+D374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INDEX(Dashboard!$C$12:$C$19,MIN(8,INT((371-1)/60)+1))</f>
        <v/>
      </c>
      <c r="D375" s="29">
        <f>MIN(Dashboard!$C$9,INDEX(Settings!$B$19:$B$58,MIN(40,INT((371-1)/12)+1)))</f>
        <v/>
      </c>
      <c r="E375" s="29">
        <f>E374*(1+INDEX(Settings!$B$13:$B$16,MATCH(C375,Settings!$A$13:$A$16,0)))+D375</f>
        <v/>
      </c>
      <c r="F375" s="29">
        <f>F374*(1+INDEX(Settings!$G$13:$G$16,MATCH(C375,Settings!$A$13:$A$16,0)))+D375</f>
        <v/>
      </c>
      <c r="G375" s="29">
        <f>G374*(1+INDEX(Settings!$H$13:$H$16,MATCH(C375,Settings!$A$13:$A$16,0)))+D375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INDEX(Dashboard!$C$12:$C$19,MIN(8,INT((372-1)/60)+1))</f>
        <v/>
      </c>
      <c r="D376" s="29">
        <f>MIN(Dashboard!$C$9,INDEX(Settings!$B$19:$B$58,MIN(40,INT((372-1)/12)+1)))</f>
        <v/>
      </c>
      <c r="E376" s="29">
        <f>E375*(1+INDEX(Settings!$B$13:$B$16,MATCH(C376,Settings!$A$13:$A$16,0)))+D376</f>
        <v/>
      </c>
      <c r="F376" s="29">
        <f>F375*(1+INDEX(Settings!$G$13:$G$16,MATCH(C376,Settings!$A$13:$A$16,0)))+D376</f>
        <v/>
      </c>
      <c r="G376" s="29">
        <f>G375*(1+INDEX(Settings!$H$13:$H$16,MATCH(C376,Settings!$A$13:$A$16,0)))+D376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INDEX(Dashboard!$C$12:$C$19,MIN(8,INT((373-1)/60)+1))</f>
        <v/>
      </c>
      <c r="D377" s="29">
        <f>MIN(Dashboard!$C$9,INDEX(Settings!$B$19:$B$58,MIN(40,INT((373-1)/12)+1)))</f>
        <v/>
      </c>
      <c r="E377" s="29">
        <f>E376*(1+INDEX(Settings!$B$13:$B$16,MATCH(C377,Settings!$A$13:$A$16,0)))+D377</f>
        <v/>
      </c>
      <c r="F377" s="29">
        <f>F376*(1+INDEX(Settings!$G$13:$G$16,MATCH(C377,Settings!$A$13:$A$16,0)))+D377</f>
        <v/>
      </c>
      <c r="G377" s="29">
        <f>G376*(1+INDEX(Settings!$H$13:$H$16,MATCH(C377,Settings!$A$13:$A$16,0)))+D377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INDEX(Dashboard!$C$12:$C$19,MIN(8,INT((374-1)/60)+1))</f>
        <v/>
      </c>
      <c r="D378" s="29">
        <f>MIN(Dashboard!$C$9,INDEX(Settings!$B$19:$B$58,MIN(40,INT((374-1)/12)+1)))</f>
        <v/>
      </c>
      <c r="E378" s="29">
        <f>E377*(1+INDEX(Settings!$B$13:$B$16,MATCH(C378,Settings!$A$13:$A$16,0)))+D378</f>
        <v/>
      </c>
      <c r="F378" s="29">
        <f>F377*(1+INDEX(Settings!$G$13:$G$16,MATCH(C378,Settings!$A$13:$A$16,0)))+D378</f>
        <v/>
      </c>
      <c r="G378" s="29">
        <f>G377*(1+INDEX(Settings!$H$13:$H$16,MATCH(C378,Settings!$A$13:$A$16,0)))+D378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INDEX(Dashboard!$C$12:$C$19,MIN(8,INT((375-1)/60)+1))</f>
        <v/>
      </c>
      <c r="D379" s="29">
        <f>MIN(Dashboard!$C$9,INDEX(Settings!$B$19:$B$58,MIN(40,INT((375-1)/12)+1)))</f>
        <v/>
      </c>
      <c r="E379" s="29">
        <f>E378*(1+INDEX(Settings!$B$13:$B$16,MATCH(C379,Settings!$A$13:$A$16,0)))+D379</f>
        <v/>
      </c>
      <c r="F379" s="29">
        <f>F378*(1+INDEX(Settings!$G$13:$G$16,MATCH(C379,Settings!$A$13:$A$16,0)))+D379</f>
        <v/>
      </c>
      <c r="G379" s="29">
        <f>G378*(1+INDEX(Settings!$H$13:$H$16,MATCH(C379,Settings!$A$13:$A$16,0)))+D379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INDEX(Dashboard!$C$12:$C$19,MIN(8,INT((376-1)/60)+1))</f>
        <v/>
      </c>
      <c r="D380" s="29">
        <f>MIN(Dashboard!$C$9,INDEX(Settings!$B$19:$B$58,MIN(40,INT((376-1)/12)+1)))</f>
        <v/>
      </c>
      <c r="E380" s="29">
        <f>E379*(1+INDEX(Settings!$B$13:$B$16,MATCH(C380,Settings!$A$13:$A$16,0)))+D380</f>
        <v/>
      </c>
      <c r="F380" s="29">
        <f>F379*(1+INDEX(Settings!$G$13:$G$16,MATCH(C380,Settings!$A$13:$A$16,0)))+D380</f>
        <v/>
      </c>
      <c r="G380" s="29">
        <f>G379*(1+INDEX(Settings!$H$13:$H$16,MATCH(C380,Settings!$A$13:$A$16,0)))+D380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INDEX(Dashboard!$C$12:$C$19,MIN(8,INT((377-1)/60)+1))</f>
        <v/>
      </c>
      <c r="D381" s="29">
        <f>MIN(Dashboard!$C$9,INDEX(Settings!$B$19:$B$58,MIN(40,INT((377-1)/12)+1)))</f>
        <v/>
      </c>
      <c r="E381" s="29">
        <f>E380*(1+INDEX(Settings!$B$13:$B$16,MATCH(C381,Settings!$A$13:$A$16,0)))+D381</f>
        <v/>
      </c>
      <c r="F381" s="29">
        <f>F380*(1+INDEX(Settings!$G$13:$G$16,MATCH(C381,Settings!$A$13:$A$16,0)))+D381</f>
        <v/>
      </c>
      <c r="G381" s="29">
        <f>G380*(1+INDEX(Settings!$H$13:$H$16,MATCH(C381,Settings!$A$13:$A$16,0)))+D381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INDEX(Dashboard!$C$12:$C$19,MIN(8,INT((378-1)/60)+1))</f>
        <v/>
      </c>
      <c r="D382" s="29">
        <f>MIN(Dashboard!$C$9,INDEX(Settings!$B$19:$B$58,MIN(40,INT((378-1)/12)+1)))</f>
        <v/>
      </c>
      <c r="E382" s="29">
        <f>E381*(1+INDEX(Settings!$B$13:$B$16,MATCH(C382,Settings!$A$13:$A$16,0)))+D382</f>
        <v/>
      </c>
      <c r="F382" s="29">
        <f>F381*(1+INDEX(Settings!$G$13:$G$16,MATCH(C382,Settings!$A$13:$A$16,0)))+D382</f>
        <v/>
      </c>
      <c r="G382" s="29">
        <f>G381*(1+INDEX(Settings!$H$13:$H$16,MATCH(C382,Settings!$A$13:$A$16,0)))+D382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INDEX(Dashboard!$C$12:$C$19,MIN(8,INT((379-1)/60)+1))</f>
        <v/>
      </c>
      <c r="D383" s="29">
        <f>MIN(Dashboard!$C$9,INDEX(Settings!$B$19:$B$58,MIN(40,INT((379-1)/12)+1)))</f>
        <v/>
      </c>
      <c r="E383" s="29">
        <f>E382*(1+INDEX(Settings!$B$13:$B$16,MATCH(C383,Settings!$A$13:$A$16,0)))+D383</f>
        <v/>
      </c>
      <c r="F383" s="29">
        <f>F382*(1+INDEX(Settings!$G$13:$G$16,MATCH(C383,Settings!$A$13:$A$16,0)))+D383</f>
        <v/>
      </c>
      <c r="G383" s="29">
        <f>G382*(1+INDEX(Settings!$H$13:$H$16,MATCH(C383,Settings!$A$13:$A$16,0)))+D383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INDEX(Dashboard!$C$12:$C$19,MIN(8,INT((380-1)/60)+1))</f>
        <v/>
      </c>
      <c r="D384" s="29">
        <f>MIN(Dashboard!$C$9,INDEX(Settings!$B$19:$B$58,MIN(40,INT((380-1)/12)+1)))</f>
        <v/>
      </c>
      <c r="E384" s="29">
        <f>E383*(1+INDEX(Settings!$B$13:$B$16,MATCH(C384,Settings!$A$13:$A$16,0)))+D384</f>
        <v/>
      </c>
      <c r="F384" s="29">
        <f>F383*(1+INDEX(Settings!$G$13:$G$16,MATCH(C384,Settings!$A$13:$A$16,0)))+D384</f>
        <v/>
      </c>
      <c r="G384" s="29">
        <f>G383*(1+INDEX(Settings!$H$13:$H$16,MATCH(C384,Settings!$A$13:$A$16,0)))+D384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INDEX(Dashboard!$C$12:$C$19,MIN(8,INT((381-1)/60)+1))</f>
        <v/>
      </c>
      <c r="D385" s="29">
        <f>MIN(Dashboard!$C$9,INDEX(Settings!$B$19:$B$58,MIN(40,INT((381-1)/12)+1)))</f>
        <v/>
      </c>
      <c r="E385" s="29">
        <f>E384*(1+INDEX(Settings!$B$13:$B$16,MATCH(C385,Settings!$A$13:$A$16,0)))+D385</f>
        <v/>
      </c>
      <c r="F385" s="29">
        <f>F384*(1+INDEX(Settings!$G$13:$G$16,MATCH(C385,Settings!$A$13:$A$16,0)))+D385</f>
        <v/>
      </c>
      <c r="G385" s="29">
        <f>G384*(1+INDEX(Settings!$H$13:$H$16,MATCH(C385,Settings!$A$13:$A$16,0)))+D385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INDEX(Dashboard!$C$12:$C$19,MIN(8,INT((382-1)/60)+1))</f>
        <v/>
      </c>
      <c r="D386" s="29">
        <f>MIN(Dashboard!$C$9,INDEX(Settings!$B$19:$B$58,MIN(40,INT((382-1)/12)+1)))</f>
        <v/>
      </c>
      <c r="E386" s="29">
        <f>E385*(1+INDEX(Settings!$B$13:$B$16,MATCH(C386,Settings!$A$13:$A$16,0)))+D386</f>
        <v/>
      </c>
      <c r="F386" s="29">
        <f>F385*(1+INDEX(Settings!$G$13:$G$16,MATCH(C386,Settings!$A$13:$A$16,0)))+D386</f>
        <v/>
      </c>
      <c r="G386" s="29">
        <f>G385*(1+INDEX(Settings!$H$13:$H$16,MATCH(C386,Settings!$A$13:$A$16,0)))+D386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INDEX(Dashboard!$C$12:$C$19,MIN(8,INT((383-1)/60)+1))</f>
        <v/>
      </c>
      <c r="D387" s="29">
        <f>MIN(Dashboard!$C$9,INDEX(Settings!$B$19:$B$58,MIN(40,INT((383-1)/12)+1)))</f>
        <v/>
      </c>
      <c r="E387" s="29">
        <f>E386*(1+INDEX(Settings!$B$13:$B$16,MATCH(C387,Settings!$A$13:$A$16,0)))+D387</f>
        <v/>
      </c>
      <c r="F387" s="29">
        <f>F386*(1+INDEX(Settings!$G$13:$G$16,MATCH(C387,Settings!$A$13:$A$16,0)))+D387</f>
        <v/>
      </c>
      <c r="G387" s="29">
        <f>G386*(1+INDEX(Settings!$H$13:$H$16,MATCH(C387,Settings!$A$13:$A$16,0)))+D387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INDEX(Dashboard!$C$12:$C$19,MIN(8,INT((384-1)/60)+1))</f>
        <v/>
      </c>
      <c r="D388" s="29">
        <f>MIN(Dashboard!$C$9,INDEX(Settings!$B$19:$B$58,MIN(40,INT((384-1)/12)+1)))</f>
        <v/>
      </c>
      <c r="E388" s="29">
        <f>E387*(1+INDEX(Settings!$B$13:$B$16,MATCH(C388,Settings!$A$13:$A$16,0)))+D388</f>
        <v/>
      </c>
      <c r="F388" s="29">
        <f>F387*(1+INDEX(Settings!$G$13:$G$16,MATCH(C388,Settings!$A$13:$A$16,0)))+D388</f>
        <v/>
      </c>
      <c r="G388" s="29">
        <f>G387*(1+INDEX(Settings!$H$13:$H$16,MATCH(C388,Settings!$A$13:$A$16,0)))+D388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INDEX(Dashboard!$C$12:$C$19,MIN(8,INT((385-1)/60)+1))</f>
        <v/>
      </c>
      <c r="D389" s="29">
        <f>MIN(Dashboard!$C$9,INDEX(Settings!$B$19:$B$58,MIN(40,INT((385-1)/12)+1)))</f>
        <v/>
      </c>
      <c r="E389" s="29">
        <f>E388*(1+INDEX(Settings!$B$13:$B$16,MATCH(C389,Settings!$A$13:$A$16,0)))+D389</f>
        <v/>
      </c>
      <c r="F389" s="29">
        <f>F388*(1+INDEX(Settings!$G$13:$G$16,MATCH(C389,Settings!$A$13:$A$16,0)))+D389</f>
        <v/>
      </c>
      <c r="G389" s="29">
        <f>G388*(1+INDEX(Settings!$H$13:$H$16,MATCH(C389,Settings!$A$13:$A$16,0)))+D389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INDEX(Dashboard!$C$12:$C$19,MIN(8,INT((386-1)/60)+1))</f>
        <v/>
      </c>
      <c r="D390" s="29">
        <f>MIN(Dashboard!$C$9,INDEX(Settings!$B$19:$B$58,MIN(40,INT((386-1)/12)+1)))</f>
        <v/>
      </c>
      <c r="E390" s="29">
        <f>E389*(1+INDEX(Settings!$B$13:$B$16,MATCH(C390,Settings!$A$13:$A$16,0)))+D390</f>
        <v/>
      </c>
      <c r="F390" s="29">
        <f>F389*(1+INDEX(Settings!$G$13:$G$16,MATCH(C390,Settings!$A$13:$A$16,0)))+D390</f>
        <v/>
      </c>
      <c r="G390" s="29">
        <f>G389*(1+INDEX(Settings!$H$13:$H$16,MATCH(C390,Settings!$A$13:$A$16,0)))+D390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INDEX(Dashboard!$C$12:$C$19,MIN(8,INT((387-1)/60)+1))</f>
        <v/>
      </c>
      <c r="D391" s="29">
        <f>MIN(Dashboard!$C$9,INDEX(Settings!$B$19:$B$58,MIN(40,INT((387-1)/12)+1)))</f>
        <v/>
      </c>
      <c r="E391" s="29">
        <f>E390*(1+INDEX(Settings!$B$13:$B$16,MATCH(C391,Settings!$A$13:$A$16,0)))+D391</f>
        <v/>
      </c>
      <c r="F391" s="29">
        <f>F390*(1+INDEX(Settings!$G$13:$G$16,MATCH(C391,Settings!$A$13:$A$16,0)))+D391</f>
        <v/>
      </c>
      <c r="G391" s="29">
        <f>G390*(1+INDEX(Settings!$H$13:$H$16,MATCH(C391,Settings!$A$13:$A$16,0)))+D391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INDEX(Dashboard!$C$12:$C$19,MIN(8,INT((388-1)/60)+1))</f>
        <v/>
      </c>
      <c r="D392" s="29">
        <f>MIN(Dashboard!$C$9,INDEX(Settings!$B$19:$B$58,MIN(40,INT((388-1)/12)+1)))</f>
        <v/>
      </c>
      <c r="E392" s="29">
        <f>E391*(1+INDEX(Settings!$B$13:$B$16,MATCH(C392,Settings!$A$13:$A$16,0)))+D392</f>
        <v/>
      </c>
      <c r="F392" s="29">
        <f>F391*(1+INDEX(Settings!$G$13:$G$16,MATCH(C392,Settings!$A$13:$A$16,0)))+D392</f>
        <v/>
      </c>
      <c r="G392" s="29">
        <f>G391*(1+INDEX(Settings!$H$13:$H$16,MATCH(C392,Settings!$A$13:$A$16,0)))+D392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INDEX(Dashboard!$C$12:$C$19,MIN(8,INT((389-1)/60)+1))</f>
        <v/>
      </c>
      <c r="D393" s="29">
        <f>MIN(Dashboard!$C$9,INDEX(Settings!$B$19:$B$58,MIN(40,INT((389-1)/12)+1)))</f>
        <v/>
      </c>
      <c r="E393" s="29">
        <f>E392*(1+INDEX(Settings!$B$13:$B$16,MATCH(C393,Settings!$A$13:$A$16,0)))+D393</f>
        <v/>
      </c>
      <c r="F393" s="29">
        <f>F392*(1+INDEX(Settings!$G$13:$G$16,MATCH(C393,Settings!$A$13:$A$16,0)))+D393</f>
        <v/>
      </c>
      <c r="G393" s="29">
        <f>G392*(1+INDEX(Settings!$H$13:$H$16,MATCH(C393,Settings!$A$13:$A$16,0)))+D393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INDEX(Dashboard!$C$12:$C$19,MIN(8,INT((390-1)/60)+1))</f>
        <v/>
      </c>
      <c r="D394" s="29">
        <f>MIN(Dashboard!$C$9,INDEX(Settings!$B$19:$B$58,MIN(40,INT((390-1)/12)+1)))</f>
        <v/>
      </c>
      <c r="E394" s="29">
        <f>E393*(1+INDEX(Settings!$B$13:$B$16,MATCH(C394,Settings!$A$13:$A$16,0)))+D394</f>
        <v/>
      </c>
      <c r="F394" s="29">
        <f>F393*(1+INDEX(Settings!$G$13:$G$16,MATCH(C394,Settings!$A$13:$A$16,0)))+D394</f>
        <v/>
      </c>
      <c r="G394" s="29">
        <f>G393*(1+INDEX(Settings!$H$13:$H$16,MATCH(C394,Settings!$A$13:$A$16,0)))+D394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INDEX(Dashboard!$C$12:$C$19,MIN(8,INT((391-1)/60)+1))</f>
        <v/>
      </c>
      <c r="D395" s="29">
        <f>MIN(Dashboard!$C$9,INDEX(Settings!$B$19:$B$58,MIN(40,INT((391-1)/12)+1)))</f>
        <v/>
      </c>
      <c r="E395" s="29">
        <f>E394*(1+INDEX(Settings!$B$13:$B$16,MATCH(C395,Settings!$A$13:$A$16,0)))+D395</f>
        <v/>
      </c>
      <c r="F395" s="29">
        <f>F394*(1+INDEX(Settings!$G$13:$G$16,MATCH(C395,Settings!$A$13:$A$16,0)))+D395</f>
        <v/>
      </c>
      <c r="G395" s="29">
        <f>G394*(1+INDEX(Settings!$H$13:$H$16,MATCH(C395,Settings!$A$13:$A$16,0)))+D395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INDEX(Dashboard!$C$12:$C$19,MIN(8,INT((392-1)/60)+1))</f>
        <v/>
      </c>
      <c r="D396" s="29">
        <f>MIN(Dashboard!$C$9,INDEX(Settings!$B$19:$B$58,MIN(40,INT((392-1)/12)+1)))</f>
        <v/>
      </c>
      <c r="E396" s="29">
        <f>E395*(1+INDEX(Settings!$B$13:$B$16,MATCH(C396,Settings!$A$13:$A$16,0)))+D396</f>
        <v/>
      </c>
      <c r="F396" s="29">
        <f>F395*(1+INDEX(Settings!$G$13:$G$16,MATCH(C396,Settings!$A$13:$A$16,0)))+D396</f>
        <v/>
      </c>
      <c r="G396" s="29">
        <f>G395*(1+INDEX(Settings!$H$13:$H$16,MATCH(C396,Settings!$A$13:$A$16,0)))+D396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INDEX(Dashboard!$C$12:$C$19,MIN(8,INT((393-1)/60)+1))</f>
        <v/>
      </c>
      <c r="D397" s="29">
        <f>MIN(Dashboard!$C$9,INDEX(Settings!$B$19:$B$58,MIN(40,INT((393-1)/12)+1)))</f>
        <v/>
      </c>
      <c r="E397" s="29">
        <f>E396*(1+INDEX(Settings!$B$13:$B$16,MATCH(C397,Settings!$A$13:$A$16,0)))+D397</f>
        <v/>
      </c>
      <c r="F397" s="29">
        <f>F396*(1+INDEX(Settings!$G$13:$G$16,MATCH(C397,Settings!$A$13:$A$16,0)))+D397</f>
        <v/>
      </c>
      <c r="G397" s="29">
        <f>G396*(1+INDEX(Settings!$H$13:$H$16,MATCH(C397,Settings!$A$13:$A$16,0)))+D397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INDEX(Dashboard!$C$12:$C$19,MIN(8,INT((394-1)/60)+1))</f>
        <v/>
      </c>
      <c r="D398" s="29">
        <f>MIN(Dashboard!$C$9,INDEX(Settings!$B$19:$B$58,MIN(40,INT((394-1)/12)+1)))</f>
        <v/>
      </c>
      <c r="E398" s="29">
        <f>E397*(1+INDEX(Settings!$B$13:$B$16,MATCH(C398,Settings!$A$13:$A$16,0)))+D398</f>
        <v/>
      </c>
      <c r="F398" s="29">
        <f>F397*(1+INDEX(Settings!$G$13:$G$16,MATCH(C398,Settings!$A$13:$A$16,0)))+D398</f>
        <v/>
      </c>
      <c r="G398" s="29">
        <f>G397*(1+INDEX(Settings!$H$13:$H$16,MATCH(C398,Settings!$A$13:$A$16,0)))+D398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INDEX(Dashboard!$C$12:$C$19,MIN(8,INT((395-1)/60)+1))</f>
        <v/>
      </c>
      <c r="D399" s="29">
        <f>MIN(Dashboard!$C$9,INDEX(Settings!$B$19:$B$58,MIN(40,INT((395-1)/12)+1)))</f>
        <v/>
      </c>
      <c r="E399" s="29">
        <f>E398*(1+INDEX(Settings!$B$13:$B$16,MATCH(C399,Settings!$A$13:$A$16,0)))+D399</f>
        <v/>
      </c>
      <c r="F399" s="29">
        <f>F398*(1+INDEX(Settings!$G$13:$G$16,MATCH(C399,Settings!$A$13:$A$16,0)))+D399</f>
        <v/>
      </c>
      <c r="G399" s="29">
        <f>G398*(1+INDEX(Settings!$H$13:$H$16,MATCH(C399,Settings!$A$13:$A$16,0)))+D399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INDEX(Dashboard!$C$12:$C$19,MIN(8,INT((396-1)/60)+1))</f>
        <v/>
      </c>
      <c r="D400" s="29">
        <f>MIN(Dashboard!$C$9,INDEX(Settings!$B$19:$B$58,MIN(40,INT((396-1)/12)+1)))</f>
        <v/>
      </c>
      <c r="E400" s="29">
        <f>E399*(1+INDEX(Settings!$B$13:$B$16,MATCH(C400,Settings!$A$13:$A$16,0)))+D400</f>
        <v/>
      </c>
      <c r="F400" s="29">
        <f>F399*(1+INDEX(Settings!$G$13:$G$16,MATCH(C400,Settings!$A$13:$A$16,0)))+D400</f>
        <v/>
      </c>
      <c r="G400" s="29">
        <f>G399*(1+INDEX(Settings!$H$13:$H$16,MATCH(C400,Settings!$A$13:$A$16,0)))+D400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INDEX(Dashboard!$C$12:$C$19,MIN(8,INT((397-1)/60)+1))</f>
        <v/>
      </c>
      <c r="D401" s="29">
        <f>MIN(Dashboard!$C$9,INDEX(Settings!$B$19:$B$58,MIN(40,INT((397-1)/12)+1)))</f>
        <v/>
      </c>
      <c r="E401" s="29">
        <f>E400*(1+INDEX(Settings!$B$13:$B$16,MATCH(C401,Settings!$A$13:$A$16,0)))+D401</f>
        <v/>
      </c>
      <c r="F401" s="29">
        <f>F400*(1+INDEX(Settings!$G$13:$G$16,MATCH(C401,Settings!$A$13:$A$16,0)))+D401</f>
        <v/>
      </c>
      <c r="G401" s="29">
        <f>G400*(1+INDEX(Settings!$H$13:$H$16,MATCH(C401,Settings!$A$13:$A$16,0)))+D401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INDEX(Dashboard!$C$12:$C$19,MIN(8,INT((398-1)/60)+1))</f>
        <v/>
      </c>
      <c r="D402" s="29">
        <f>MIN(Dashboard!$C$9,INDEX(Settings!$B$19:$B$58,MIN(40,INT((398-1)/12)+1)))</f>
        <v/>
      </c>
      <c r="E402" s="29">
        <f>E401*(1+INDEX(Settings!$B$13:$B$16,MATCH(C402,Settings!$A$13:$A$16,0)))+D402</f>
        <v/>
      </c>
      <c r="F402" s="29">
        <f>F401*(1+INDEX(Settings!$G$13:$G$16,MATCH(C402,Settings!$A$13:$A$16,0)))+D402</f>
        <v/>
      </c>
      <c r="G402" s="29">
        <f>G401*(1+INDEX(Settings!$H$13:$H$16,MATCH(C402,Settings!$A$13:$A$16,0)))+D402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INDEX(Dashboard!$C$12:$C$19,MIN(8,INT((399-1)/60)+1))</f>
        <v/>
      </c>
      <c r="D403" s="29">
        <f>MIN(Dashboard!$C$9,INDEX(Settings!$B$19:$B$58,MIN(40,INT((399-1)/12)+1)))</f>
        <v/>
      </c>
      <c r="E403" s="29">
        <f>E402*(1+INDEX(Settings!$B$13:$B$16,MATCH(C403,Settings!$A$13:$A$16,0)))+D403</f>
        <v/>
      </c>
      <c r="F403" s="29">
        <f>F402*(1+INDEX(Settings!$G$13:$G$16,MATCH(C403,Settings!$A$13:$A$16,0)))+D403</f>
        <v/>
      </c>
      <c r="G403" s="29">
        <f>G402*(1+INDEX(Settings!$H$13:$H$16,MATCH(C403,Settings!$A$13:$A$16,0)))+D403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INDEX(Dashboard!$C$12:$C$19,MIN(8,INT((400-1)/60)+1))</f>
        <v/>
      </c>
      <c r="D404" s="29">
        <f>MIN(Dashboard!$C$9,INDEX(Settings!$B$19:$B$58,MIN(40,INT((400-1)/12)+1)))</f>
        <v/>
      </c>
      <c r="E404" s="29">
        <f>E403*(1+INDEX(Settings!$B$13:$B$16,MATCH(C404,Settings!$A$13:$A$16,0)))+D404</f>
        <v/>
      </c>
      <c r="F404" s="29">
        <f>F403*(1+INDEX(Settings!$G$13:$G$16,MATCH(C404,Settings!$A$13:$A$16,0)))+D404</f>
        <v/>
      </c>
      <c r="G404" s="29">
        <f>G403*(1+INDEX(Settings!$H$13:$H$16,MATCH(C404,Settings!$A$13:$A$16,0)))+D404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INDEX(Dashboard!$C$12:$C$19,MIN(8,INT((401-1)/60)+1))</f>
        <v/>
      </c>
      <c r="D405" s="29">
        <f>MIN(Dashboard!$C$9,INDEX(Settings!$B$19:$B$58,MIN(40,INT((401-1)/12)+1)))</f>
        <v/>
      </c>
      <c r="E405" s="29">
        <f>E404*(1+INDEX(Settings!$B$13:$B$16,MATCH(C405,Settings!$A$13:$A$16,0)))+D405</f>
        <v/>
      </c>
      <c r="F405" s="29">
        <f>F404*(1+INDEX(Settings!$G$13:$G$16,MATCH(C405,Settings!$A$13:$A$16,0)))+D405</f>
        <v/>
      </c>
      <c r="G405" s="29">
        <f>G404*(1+INDEX(Settings!$H$13:$H$16,MATCH(C405,Settings!$A$13:$A$16,0)))+D405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INDEX(Dashboard!$C$12:$C$19,MIN(8,INT((402-1)/60)+1))</f>
        <v/>
      </c>
      <c r="D406" s="29">
        <f>MIN(Dashboard!$C$9,INDEX(Settings!$B$19:$B$58,MIN(40,INT((402-1)/12)+1)))</f>
        <v/>
      </c>
      <c r="E406" s="29">
        <f>E405*(1+INDEX(Settings!$B$13:$B$16,MATCH(C406,Settings!$A$13:$A$16,0)))+D406</f>
        <v/>
      </c>
      <c r="F406" s="29">
        <f>F405*(1+INDEX(Settings!$G$13:$G$16,MATCH(C406,Settings!$A$13:$A$16,0)))+D406</f>
        <v/>
      </c>
      <c r="G406" s="29">
        <f>G405*(1+INDEX(Settings!$H$13:$H$16,MATCH(C406,Settings!$A$13:$A$16,0)))+D406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INDEX(Dashboard!$C$12:$C$19,MIN(8,INT((403-1)/60)+1))</f>
        <v/>
      </c>
      <c r="D407" s="29">
        <f>MIN(Dashboard!$C$9,INDEX(Settings!$B$19:$B$58,MIN(40,INT((403-1)/12)+1)))</f>
        <v/>
      </c>
      <c r="E407" s="29">
        <f>E406*(1+INDEX(Settings!$B$13:$B$16,MATCH(C407,Settings!$A$13:$A$16,0)))+D407</f>
        <v/>
      </c>
      <c r="F407" s="29">
        <f>F406*(1+INDEX(Settings!$G$13:$G$16,MATCH(C407,Settings!$A$13:$A$16,0)))+D407</f>
        <v/>
      </c>
      <c r="G407" s="29">
        <f>G406*(1+INDEX(Settings!$H$13:$H$16,MATCH(C407,Settings!$A$13:$A$16,0)))+D407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INDEX(Dashboard!$C$12:$C$19,MIN(8,INT((404-1)/60)+1))</f>
        <v/>
      </c>
      <c r="D408" s="29">
        <f>MIN(Dashboard!$C$9,INDEX(Settings!$B$19:$B$58,MIN(40,INT((404-1)/12)+1)))</f>
        <v/>
      </c>
      <c r="E408" s="29">
        <f>E407*(1+INDEX(Settings!$B$13:$B$16,MATCH(C408,Settings!$A$13:$A$16,0)))+D408</f>
        <v/>
      </c>
      <c r="F408" s="29">
        <f>F407*(1+INDEX(Settings!$G$13:$G$16,MATCH(C408,Settings!$A$13:$A$16,0)))+D408</f>
        <v/>
      </c>
      <c r="G408" s="29">
        <f>G407*(1+INDEX(Settings!$H$13:$H$16,MATCH(C408,Settings!$A$13:$A$16,0)))+D408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INDEX(Dashboard!$C$12:$C$19,MIN(8,INT((405-1)/60)+1))</f>
        <v/>
      </c>
      <c r="D409" s="29">
        <f>MIN(Dashboard!$C$9,INDEX(Settings!$B$19:$B$58,MIN(40,INT((405-1)/12)+1)))</f>
        <v/>
      </c>
      <c r="E409" s="29">
        <f>E408*(1+INDEX(Settings!$B$13:$B$16,MATCH(C409,Settings!$A$13:$A$16,0)))+D409</f>
        <v/>
      </c>
      <c r="F409" s="29">
        <f>F408*(1+INDEX(Settings!$G$13:$G$16,MATCH(C409,Settings!$A$13:$A$16,0)))+D409</f>
        <v/>
      </c>
      <c r="G409" s="29">
        <f>G408*(1+INDEX(Settings!$H$13:$H$16,MATCH(C409,Settings!$A$13:$A$16,0)))+D409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INDEX(Dashboard!$C$12:$C$19,MIN(8,INT((406-1)/60)+1))</f>
        <v/>
      </c>
      <c r="D410" s="29">
        <f>MIN(Dashboard!$C$9,INDEX(Settings!$B$19:$B$58,MIN(40,INT((406-1)/12)+1)))</f>
        <v/>
      </c>
      <c r="E410" s="29">
        <f>E409*(1+INDEX(Settings!$B$13:$B$16,MATCH(C410,Settings!$A$13:$A$16,0)))+D410</f>
        <v/>
      </c>
      <c r="F410" s="29">
        <f>F409*(1+INDEX(Settings!$G$13:$G$16,MATCH(C410,Settings!$A$13:$A$16,0)))+D410</f>
        <v/>
      </c>
      <c r="G410" s="29">
        <f>G409*(1+INDEX(Settings!$H$13:$H$16,MATCH(C410,Settings!$A$13:$A$16,0)))+D410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INDEX(Dashboard!$C$12:$C$19,MIN(8,INT((407-1)/60)+1))</f>
        <v/>
      </c>
      <c r="D411" s="29">
        <f>MIN(Dashboard!$C$9,INDEX(Settings!$B$19:$B$58,MIN(40,INT((407-1)/12)+1)))</f>
        <v/>
      </c>
      <c r="E411" s="29">
        <f>E410*(1+INDEX(Settings!$B$13:$B$16,MATCH(C411,Settings!$A$13:$A$16,0)))+D411</f>
        <v/>
      </c>
      <c r="F411" s="29">
        <f>F410*(1+INDEX(Settings!$G$13:$G$16,MATCH(C411,Settings!$A$13:$A$16,0)))+D411</f>
        <v/>
      </c>
      <c r="G411" s="29">
        <f>G410*(1+INDEX(Settings!$H$13:$H$16,MATCH(C411,Settings!$A$13:$A$16,0)))+D411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INDEX(Dashboard!$C$12:$C$19,MIN(8,INT((408-1)/60)+1))</f>
        <v/>
      </c>
      <c r="D412" s="29">
        <f>MIN(Dashboard!$C$9,INDEX(Settings!$B$19:$B$58,MIN(40,INT((408-1)/12)+1)))</f>
        <v/>
      </c>
      <c r="E412" s="29">
        <f>E411*(1+INDEX(Settings!$B$13:$B$16,MATCH(C412,Settings!$A$13:$A$16,0)))+D412</f>
        <v/>
      </c>
      <c r="F412" s="29">
        <f>F411*(1+INDEX(Settings!$G$13:$G$16,MATCH(C412,Settings!$A$13:$A$16,0)))+D412</f>
        <v/>
      </c>
      <c r="G412" s="29">
        <f>G411*(1+INDEX(Settings!$H$13:$H$16,MATCH(C412,Settings!$A$13:$A$16,0)))+D412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INDEX(Dashboard!$C$12:$C$19,MIN(8,INT((409-1)/60)+1))</f>
        <v/>
      </c>
      <c r="D413" s="29">
        <f>MIN(Dashboard!$C$9,INDEX(Settings!$B$19:$B$58,MIN(40,INT((409-1)/12)+1)))</f>
        <v/>
      </c>
      <c r="E413" s="29">
        <f>E412*(1+INDEX(Settings!$B$13:$B$16,MATCH(C413,Settings!$A$13:$A$16,0)))+D413</f>
        <v/>
      </c>
      <c r="F413" s="29">
        <f>F412*(1+INDEX(Settings!$G$13:$G$16,MATCH(C413,Settings!$A$13:$A$16,0)))+D413</f>
        <v/>
      </c>
      <c r="G413" s="29">
        <f>G412*(1+INDEX(Settings!$H$13:$H$16,MATCH(C413,Settings!$A$13:$A$16,0)))+D413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INDEX(Dashboard!$C$12:$C$19,MIN(8,INT((410-1)/60)+1))</f>
        <v/>
      </c>
      <c r="D414" s="29">
        <f>MIN(Dashboard!$C$9,INDEX(Settings!$B$19:$B$58,MIN(40,INT((410-1)/12)+1)))</f>
        <v/>
      </c>
      <c r="E414" s="29">
        <f>E413*(1+INDEX(Settings!$B$13:$B$16,MATCH(C414,Settings!$A$13:$A$16,0)))+D414</f>
        <v/>
      </c>
      <c r="F414" s="29">
        <f>F413*(1+INDEX(Settings!$G$13:$G$16,MATCH(C414,Settings!$A$13:$A$16,0)))+D414</f>
        <v/>
      </c>
      <c r="G414" s="29">
        <f>G413*(1+INDEX(Settings!$H$13:$H$16,MATCH(C414,Settings!$A$13:$A$16,0)))+D414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INDEX(Dashboard!$C$12:$C$19,MIN(8,INT((411-1)/60)+1))</f>
        <v/>
      </c>
      <c r="D415" s="29">
        <f>MIN(Dashboard!$C$9,INDEX(Settings!$B$19:$B$58,MIN(40,INT((411-1)/12)+1)))</f>
        <v/>
      </c>
      <c r="E415" s="29">
        <f>E414*(1+INDEX(Settings!$B$13:$B$16,MATCH(C415,Settings!$A$13:$A$16,0)))+D415</f>
        <v/>
      </c>
      <c r="F415" s="29">
        <f>F414*(1+INDEX(Settings!$G$13:$G$16,MATCH(C415,Settings!$A$13:$A$16,0)))+D415</f>
        <v/>
      </c>
      <c r="G415" s="29">
        <f>G414*(1+INDEX(Settings!$H$13:$H$16,MATCH(C415,Settings!$A$13:$A$16,0)))+D415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INDEX(Dashboard!$C$12:$C$19,MIN(8,INT((412-1)/60)+1))</f>
        <v/>
      </c>
      <c r="D416" s="29">
        <f>MIN(Dashboard!$C$9,INDEX(Settings!$B$19:$B$58,MIN(40,INT((412-1)/12)+1)))</f>
        <v/>
      </c>
      <c r="E416" s="29">
        <f>E415*(1+INDEX(Settings!$B$13:$B$16,MATCH(C416,Settings!$A$13:$A$16,0)))+D416</f>
        <v/>
      </c>
      <c r="F416" s="29">
        <f>F415*(1+INDEX(Settings!$G$13:$G$16,MATCH(C416,Settings!$A$13:$A$16,0)))+D416</f>
        <v/>
      </c>
      <c r="G416" s="29">
        <f>G415*(1+INDEX(Settings!$H$13:$H$16,MATCH(C416,Settings!$A$13:$A$16,0)))+D416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INDEX(Dashboard!$C$12:$C$19,MIN(8,INT((413-1)/60)+1))</f>
        <v/>
      </c>
      <c r="D417" s="29">
        <f>MIN(Dashboard!$C$9,INDEX(Settings!$B$19:$B$58,MIN(40,INT((413-1)/12)+1)))</f>
        <v/>
      </c>
      <c r="E417" s="29">
        <f>E416*(1+INDEX(Settings!$B$13:$B$16,MATCH(C417,Settings!$A$13:$A$16,0)))+D417</f>
        <v/>
      </c>
      <c r="F417" s="29">
        <f>F416*(1+INDEX(Settings!$G$13:$G$16,MATCH(C417,Settings!$A$13:$A$16,0)))+D417</f>
        <v/>
      </c>
      <c r="G417" s="29">
        <f>G416*(1+INDEX(Settings!$H$13:$H$16,MATCH(C417,Settings!$A$13:$A$16,0)))+D417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INDEX(Dashboard!$C$12:$C$19,MIN(8,INT((414-1)/60)+1))</f>
        <v/>
      </c>
      <c r="D418" s="29">
        <f>MIN(Dashboard!$C$9,INDEX(Settings!$B$19:$B$58,MIN(40,INT((414-1)/12)+1)))</f>
        <v/>
      </c>
      <c r="E418" s="29">
        <f>E417*(1+INDEX(Settings!$B$13:$B$16,MATCH(C418,Settings!$A$13:$A$16,0)))+D418</f>
        <v/>
      </c>
      <c r="F418" s="29">
        <f>F417*(1+INDEX(Settings!$G$13:$G$16,MATCH(C418,Settings!$A$13:$A$16,0)))+D418</f>
        <v/>
      </c>
      <c r="G418" s="29">
        <f>G417*(1+INDEX(Settings!$H$13:$H$16,MATCH(C418,Settings!$A$13:$A$16,0)))+D418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INDEX(Dashboard!$C$12:$C$19,MIN(8,INT((415-1)/60)+1))</f>
        <v/>
      </c>
      <c r="D419" s="29">
        <f>MIN(Dashboard!$C$9,INDEX(Settings!$B$19:$B$58,MIN(40,INT((415-1)/12)+1)))</f>
        <v/>
      </c>
      <c r="E419" s="29">
        <f>E418*(1+INDEX(Settings!$B$13:$B$16,MATCH(C419,Settings!$A$13:$A$16,0)))+D419</f>
        <v/>
      </c>
      <c r="F419" s="29">
        <f>F418*(1+INDEX(Settings!$G$13:$G$16,MATCH(C419,Settings!$A$13:$A$16,0)))+D419</f>
        <v/>
      </c>
      <c r="G419" s="29">
        <f>G418*(1+INDEX(Settings!$H$13:$H$16,MATCH(C419,Settings!$A$13:$A$16,0)))+D419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INDEX(Dashboard!$C$12:$C$19,MIN(8,INT((416-1)/60)+1))</f>
        <v/>
      </c>
      <c r="D420" s="29">
        <f>MIN(Dashboard!$C$9,INDEX(Settings!$B$19:$B$58,MIN(40,INT((416-1)/12)+1)))</f>
        <v/>
      </c>
      <c r="E420" s="29">
        <f>E419*(1+INDEX(Settings!$B$13:$B$16,MATCH(C420,Settings!$A$13:$A$16,0)))+D420</f>
        <v/>
      </c>
      <c r="F420" s="29">
        <f>F419*(1+INDEX(Settings!$G$13:$G$16,MATCH(C420,Settings!$A$13:$A$16,0)))+D420</f>
        <v/>
      </c>
      <c r="G420" s="29">
        <f>G419*(1+INDEX(Settings!$H$13:$H$16,MATCH(C420,Settings!$A$13:$A$16,0)))+D420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INDEX(Dashboard!$C$12:$C$19,MIN(8,INT((417-1)/60)+1))</f>
        <v/>
      </c>
      <c r="D421" s="29">
        <f>MIN(Dashboard!$C$9,INDEX(Settings!$B$19:$B$58,MIN(40,INT((417-1)/12)+1)))</f>
        <v/>
      </c>
      <c r="E421" s="29">
        <f>E420*(1+INDEX(Settings!$B$13:$B$16,MATCH(C421,Settings!$A$13:$A$16,0)))+D421</f>
        <v/>
      </c>
      <c r="F421" s="29">
        <f>F420*(1+INDEX(Settings!$G$13:$G$16,MATCH(C421,Settings!$A$13:$A$16,0)))+D421</f>
        <v/>
      </c>
      <c r="G421" s="29">
        <f>G420*(1+INDEX(Settings!$H$13:$H$16,MATCH(C421,Settings!$A$13:$A$16,0)))+D421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INDEX(Dashboard!$C$12:$C$19,MIN(8,INT((418-1)/60)+1))</f>
        <v/>
      </c>
      <c r="D422" s="29">
        <f>MIN(Dashboard!$C$9,INDEX(Settings!$B$19:$B$58,MIN(40,INT((418-1)/12)+1)))</f>
        <v/>
      </c>
      <c r="E422" s="29">
        <f>E421*(1+INDEX(Settings!$B$13:$B$16,MATCH(C422,Settings!$A$13:$A$16,0)))+D422</f>
        <v/>
      </c>
      <c r="F422" s="29">
        <f>F421*(1+INDEX(Settings!$G$13:$G$16,MATCH(C422,Settings!$A$13:$A$16,0)))+D422</f>
        <v/>
      </c>
      <c r="G422" s="29">
        <f>G421*(1+INDEX(Settings!$H$13:$H$16,MATCH(C422,Settings!$A$13:$A$16,0)))+D422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INDEX(Dashboard!$C$12:$C$19,MIN(8,INT((419-1)/60)+1))</f>
        <v/>
      </c>
      <c r="D423" s="29">
        <f>MIN(Dashboard!$C$9,INDEX(Settings!$B$19:$B$58,MIN(40,INT((419-1)/12)+1)))</f>
        <v/>
      </c>
      <c r="E423" s="29">
        <f>E422*(1+INDEX(Settings!$B$13:$B$16,MATCH(C423,Settings!$A$13:$A$16,0)))+D423</f>
        <v/>
      </c>
      <c r="F423" s="29">
        <f>F422*(1+INDEX(Settings!$G$13:$G$16,MATCH(C423,Settings!$A$13:$A$16,0)))+D423</f>
        <v/>
      </c>
      <c r="G423" s="29">
        <f>G422*(1+INDEX(Settings!$H$13:$H$16,MATCH(C423,Settings!$A$13:$A$16,0)))+D423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INDEX(Dashboard!$C$12:$C$19,MIN(8,INT((420-1)/60)+1))</f>
        <v/>
      </c>
      <c r="D424" s="29">
        <f>MIN(Dashboard!$C$9,INDEX(Settings!$B$19:$B$58,MIN(40,INT((420-1)/12)+1)))</f>
        <v/>
      </c>
      <c r="E424" s="29">
        <f>E423*(1+INDEX(Settings!$B$13:$B$16,MATCH(C424,Settings!$A$13:$A$16,0)))+D424</f>
        <v/>
      </c>
      <c r="F424" s="29">
        <f>F423*(1+INDEX(Settings!$G$13:$G$16,MATCH(C424,Settings!$A$13:$A$16,0)))+D424</f>
        <v/>
      </c>
      <c r="G424" s="29">
        <f>G423*(1+INDEX(Settings!$H$13:$H$16,MATCH(C424,Settings!$A$13:$A$16,0)))+D424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INDEX(Dashboard!$C$12:$C$19,MIN(8,INT((421-1)/60)+1))</f>
        <v/>
      </c>
      <c r="D425" s="29">
        <f>MIN(Dashboard!$C$9,INDEX(Settings!$B$19:$B$58,MIN(40,INT((421-1)/12)+1)))</f>
        <v/>
      </c>
      <c r="E425" s="29">
        <f>E424*(1+INDEX(Settings!$B$13:$B$16,MATCH(C425,Settings!$A$13:$A$16,0)))+D425</f>
        <v/>
      </c>
      <c r="F425" s="29">
        <f>F424*(1+INDEX(Settings!$G$13:$G$16,MATCH(C425,Settings!$A$13:$A$16,0)))+D425</f>
        <v/>
      </c>
      <c r="G425" s="29">
        <f>G424*(1+INDEX(Settings!$H$13:$H$16,MATCH(C425,Settings!$A$13:$A$16,0)))+D425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INDEX(Dashboard!$C$12:$C$19,MIN(8,INT((422-1)/60)+1))</f>
        <v/>
      </c>
      <c r="D426" s="29">
        <f>MIN(Dashboard!$C$9,INDEX(Settings!$B$19:$B$58,MIN(40,INT((422-1)/12)+1)))</f>
        <v/>
      </c>
      <c r="E426" s="29">
        <f>E425*(1+INDEX(Settings!$B$13:$B$16,MATCH(C426,Settings!$A$13:$A$16,0)))+D426</f>
        <v/>
      </c>
      <c r="F426" s="29">
        <f>F425*(1+INDEX(Settings!$G$13:$G$16,MATCH(C426,Settings!$A$13:$A$16,0)))+D426</f>
        <v/>
      </c>
      <c r="G426" s="29">
        <f>G425*(1+INDEX(Settings!$H$13:$H$16,MATCH(C426,Settings!$A$13:$A$16,0)))+D426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INDEX(Dashboard!$C$12:$C$19,MIN(8,INT((423-1)/60)+1))</f>
        <v/>
      </c>
      <c r="D427" s="29">
        <f>MIN(Dashboard!$C$9,INDEX(Settings!$B$19:$B$58,MIN(40,INT((423-1)/12)+1)))</f>
        <v/>
      </c>
      <c r="E427" s="29">
        <f>E426*(1+INDEX(Settings!$B$13:$B$16,MATCH(C427,Settings!$A$13:$A$16,0)))+D427</f>
        <v/>
      </c>
      <c r="F427" s="29">
        <f>F426*(1+INDEX(Settings!$G$13:$G$16,MATCH(C427,Settings!$A$13:$A$16,0)))+D427</f>
        <v/>
      </c>
      <c r="G427" s="29">
        <f>G426*(1+INDEX(Settings!$H$13:$H$16,MATCH(C427,Settings!$A$13:$A$16,0)))+D427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INDEX(Dashboard!$C$12:$C$19,MIN(8,INT((424-1)/60)+1))</f>
        <v/>
      </c>
      <c r="D428" s="29">
        <f>MIN(Dashboard!$C$9,INDEX(Settings!$B$19:$B$58,MIN(40,INT((424-1)/12)+1)))</f>
        <v/>
      </c>
      <c r="E428" s="29">
        <f>E427*(1+INDEX(Settings!$B$13:$B$16,MATCH(C428,Settings!$A$13:$A$16,0)))+D428</f>
        <v/>
      </c>
      <c r="F428" s="29">
        <f>F427*(1+INDEX(Settings!$G$13:$G$16,MATCH(C428,Settings!$A$13:$A$16,0)))+D428</f>
        <v/>
      </c>
      <c r="G428" s="29">
        <f>G427*(1+INDEX(Settings!$H$13:$H$16,MATCH(C428,Settings!$A$13:$A$16,0)))+D428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INDEX(Dashboard!$C$12:$C$19,MIN(8,INT((425-1)/60)+1))</f>
        <v/>
      </c>
      <c r="D429" s="29">
        <f>MIN(Dashboard!$C$9,INDEX(Settings!$B$19:$B$58,MIN(40,INT((425-1)/12)+1)))</f>
        <v/>
      </c>
      <c r="E429" s="29">
        <f>E428*(1+INDEX(Settings!$B$13:$B$16,MATCH(C429,Settings!$A$13:$A$16,0)))+D429</f>
        <v/>
      </c>
      <c r="F429" s="29">
        <f>F428*(1+INDEX(Settings!$G$13:$G$16,MATCH(C429,Settings!$A$13:$A$16,0)))+D429</f>
        <v/>
      </c>
      <c r="G429" s="29">
        <f>G428*(1+INDEX(Settings!$H$13:$H$16,MATCH(C429,Settings!$A$13:$A$16,0)))+D429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INDEX(Dashboard!$C$12:$C$19,MIN(8,INT((426-1)/60)+1))</f>
        <v/>
      </c>
      <c r="D430" s="29">
        <f>MIN(Dashboard!$C$9,INDEX(Settings!$B$19:$B$58,MIN(40,INT((426-1)/12)+1)))</f>
        <v/>
      </c>
      <c r="E430" s="29">
        <f>E429*(1+INDEX(Settings!$B$13:$B$16,MATCH(C430,Settings!$A$13:$A$16,0)))+D430</f>
        <v/>
      </c>
      <c r="F430" s="29">
        <f>F429*(1+INDEX(Settings!$G$13:$G$16,MATCH(C430,Settings!$A$13:$A$16,0)))+D430</f>
        <v/>
      </c>
      <c r="G430" s="29">
        <f>G429*(1+INDEX(Settings!$H$13:$H$16,MATCH(C430,Settings!$A$13:$A$16,0)))+D430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INDEX(Dashboard!$C$12:$C$19,MIN(8,INT((427-1)/60)+1))</f>
        <v/>
      </c>
      <c r="D431" s="29">
        <f>MIN(Dashboard!$C$9,INDEX(Settings!$B$19:$B$58,MIN(40,INT((427-1)/12)+1)))</f>
        <v/>
      </c>
      <c r="E431" s="29">
        <f>E430*(1+INDEX(Settings!$B$13:$B$16,MATCH(C431,Settings!$A$13:$A$16,0)))+D431</f>
        <v/>
      </c>
      <c r="F431" s="29">
        <f>F430*(1+INDEX(Settings!$G$13:$G$16,MATCH(C431,Settings!$A$13:$A$16,0)))+D431</f>
        <v/>
      </c>
      <c r="G431" s="29">
        <f>G430*(1+INDEX(Settings!$H$13:$H$16,MATCH(C431,Settings!$A$13:$A$16,0)))+D431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INDEX(Dashboard!$C$12:$C$19,MIN(8,INT((428-1)/60)+1))</f>
        <v/>
      </c>
      <c r="D432" s="29">
        <f>MIN(Dashboard!$C$9,INDEX(Settings!$B$19:$B$58,MIN(40,INT((428-1)/12)+1)))</f>
        <v/>
      </c>
      <c r="E432" s="29">
        <f>E431*(1+INDEX(Settings!$B$13:$B$16,MATCH(C432,Settings!$A$13:$A$16,0)))+D432</f>
        <v/>
      </c>
      <c r="F432" s="29">
        <f>F431*(1+INDEX(Settings!$G$13:$G$16,MATCH(C432,Settings!$A$13:$A$16,0)))+D432</f>
        <v/>
      </c>
      <c r="G432" s="29">
        <f>G431*(1+INDEX(Settings!$H$13:$H$16,MATCH(C432,Settings!$A$13:$A$16,0)))+D432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INDEX(Dashboard!$C$12:$C$19,MIN(8,INT((429-1)/60)+1))</f>
        <v/>
      </c>
      <c r="D433" s="29">
        <f>MIN(Dashboard!$C$9,INDEX(Settings!$B$19:$B$58,MIN(40,INT((429-1)/12)+1)))</f>
        <v/>
      </c>
      <c r="E433" s="29">
        <f>E432*(1+INDEX(Settings!$B$13:$B$16,MATCH(C433,Settings!$A$13:$A$16,0)))+D433</f>
        <v/>
      </c>
      <c r="F433" s="29">
        <f>F432*(1+INDEX(Settings!$G$13:$G$16,MATCH(C433,Settings!$A$13:$A$16,0)))+D433</f>
        <v/>
      </c>
      <c r="G433" s="29">
        <f>G432*(1+INDEX(Settings!$H$13:$H$16,MATCH(C433,Settings!$A$13:$A$16,0)))+D433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INDEX(Dashboard!$C$12:$C$19,MIN(8,INT((430-1)/60)+1))</f>
        <v/>
      </c>
      <c r="D434" s="29">
        <f>MIN(Dashboard!$C$9,INDEX(Settings!$B$19:$B$58,MIN(40,INT((430-1)/12)+1)))</f>
        <v/>
      </c>
      <c r="E434" s="29">
        <f>E433*(1+INDEX(Settings!$B$13:$B$16,MATCH(C434,Settings!$A$13:$A$16,0)))+D434</f>
        <v/>
      </c>
      <c r="F434" s="29">
        <f>F433*(1+INDEX(Settings!$G$13:$G$16,MATCH(C434,Settings!$A$13:$A$16,0)))+D434</f>
        <v/>
      </c>
      <c r="G434" s="29">
        <f>G433*(1+INDEX(Settings!$H$13:$H$16,MATCH(C434,Settings!$A$13:$A$16,0)))+D434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INDEX(Dashboard!$C$12:$C$19,MIN(8,INT((431-1)/60)+1))</f>
        <v/>
      </c>
      <c r="D435" s="29">
        <f>MIN(Dashboard!$C$9,INDEX(Settings!$B$19:$B$58,MIN(40,INT((431-1)/12)+1)))</f>
        <v/>
      </c>
      <c r="E435" s="29">
        <f>E434*(1+INDEX(Settings!$B$13:$B$16,MATCH(C435,Settings!$A$13:$A$16,0)))+D435</f>
        <v/>
      </c>
      <c r="F435" s="29">
        <f>F434*(1+INDEX(Settings!$G$13:$G$16,MATCH(C435,Settings!$A$13:$A$16,0)))+D435</f>
        <v/>
      </c>
      <c r="G435" s="29">
        <f>G434*(1+INDEX(Settings!$H$13:$H$16,MATCH(C435,Settings!$A$13:$A$16,0)))+D435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INDEX(Dashboard!$C$12:$C$19,MIN(8,INT((432-1)/60)+1))</f>
        <v/>
      </c>
      <c r="D436" s="29">
        <f>MIN(Dashboard!$C$9,INDEX(Settings!$B$19:$B$58,MIN(40,INT((432-1)/12)+1)))</f>
        <v/>
      </c>
      <c r="E436" s="29">
        <f>E435*(1+INDEX(Settings!$B$13:$B$16,MATCH(C436,Settings!$A$13:$A$16,0)))+D436</f>
        <v/>
      </c>
      <c r="F436" s="29">
        <f>F435*(1+INDEX(Settings!$G$13:$G$16,MATCH(C436,Settings!$A$13:$A$16,0)))+D436</f>
        <v/>
      </c>
      <c r="G436" s="29">
        <f>G435*(1+INDEX(Settings!$H$13:$H$16,MATCH(C436,Settings!$A$13:$A$16,0)))+D436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INDEX(Dashboard!$C$12:$C$19,MIN(8,INT((433-1)/60)+1))</f>
        <v/>
      </c>
      <c r="D437" s="29">
        <f>MIN(Dashboard!$C$9,INDEX(Settings!$B$19:$B$58,MIN(40,INT((433-1)/12)+1)))</f>
        <v/>
      </c>
      <c r="E437" s="29">
        <f>E436*(1+INDEX(Settings!$B$13:$B$16,MATCH(C437,Settings!$A$13:$A$16,0)))+D437</f>
        <v/>
      </c>
      <c r="F437" s="29">
        <f>F436*(1+INDEX(Settings!$G$13:$G$16,MATCH(C437,Settings!$A$13:$A$16,0)))+D437</f>
        <v/>
      </c>
      <c r="G437" s="29">
        <f>G436*(1+INDEX(Settings!$H$13:$H$16,MATCH(C437,Settings!$A$13:$A$16,0)))+D437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INDEX(Dashboard!$C$12:$C$19,MIN(8,INT((434-1)/60)+1))</f>
        <v/>
      </c>
      <c r="D438" s="29">
        <f>MIN(Dashboard!$C$9,INDEX(Settings!$B$19:$B$58,MIN(40,INT((434-1)/12)+1)))</f>
        <v/>
      </c>
      <c r="E438" s="29">
        <f>E437*(1+INDEX(Settings!$B$13:$B$16,MATCH(C438,Settings!$A$13:$A$16,0)))+D438</f>
        <v/>
      </c>
      <c r="F438" s="29">
        <f>F437*(1+INDEX(Settings!$G$13:$G$16,MATCH(C438,Settings!$A$13:$A$16,0)))+D438</f>
        <v/>
      </c>
      <c r="G438" s="29">
        <f>G437*(1+INDEX(Settings!$H$13:$H$16,MATCH(C438,Settings!$A$13:$A$16,0)))+D438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INDEX(Dashboard!$C$12:$C$19,MIN(8,INT((435-1)/60)+1))</f>
        <v/>
      </c>
      <c r="D439" s="29">
        <f>MIN(Dashboard!$C$9,INDEX(Settings!$B$19:$B$58,MIN(40,INT((435-1)/12)+1)))</f>
        <v/>
      </c>
      <c r="E439" s="29">
        <f>E438*(1+INDEX(Settings!$B$13:$B$16,MATCH(C439,Settings!$A$13:$A$16,0)))+D439</f>
        <v/>
      </c>
      <c r="F439" s="29">
        <f>F438*(1+INDEX(Settings!$G$13:$G$16,MATCH(C439,Settings!$A$13:$A$16,0)))+D439</f>
        <v/>
      </c>
      <c r="G439" s="29">
        <f>G438*(1+INDEX(Settings!$H$13:$H$16,MATCH(C439,Settings!$A$13:$A$16,0)))+D439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INDEX(Dashboard!$C$12:$C$19,MIN(8,INT((436-1)/60)+1))</f>
        <v/>
      </c>
      <c r="D440" s="29">
        <f>MIN(Dashboard!$C$9,INDEX(Settings!$B$19:$B$58,MIN(40,INT((436-1)/12)+1)))</f>
        <v/>
      </c>
      <c r="E440" s="29">
        <f>E439*(1+INDEX(Settings!$B$13:$B$16,MATCH(C440,Settings!$A$13:$A$16,0)))+D440</f>
        <v/>
      </c>
      <c r="F440" s="29">
        <f>F439*(1+INDEX(Settings!$G$13:$G$16,MATCH(C440,Settings!$A$13:$A$16,0)))+D440</f>
        <v/>
      </c>
      <c r="G440" s="29">
        <f>G439*(1+INDEX(Settings!$H$13:$H$16,MATCH(C440,Settings!$A$13:$A$16,0)))+D440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INDEX(Dashboard!$C$12:$C$19,MIN(8,INT((437-1)/60)+1))</f>
        <v/>
      </c>
      <c r="D441" s="29">
        <f>MIN(Dashboard!$C$9,INDEX(Settings!$B$19:$B$58,MIN(40,INT((437-1)/12)+1)))</f>
        <v/>
      </c>
      <c r="E441" s="29">
        <f>E440*(1+INDEX(Settings!$B$13:$B$16,MATCH(C441,Settings!$A$13:$A$16,0)))+D441</f>
        <v/>
      </c>
      <c r="F441" s="29">
        <f>F440*(1+INDEX(Settings!$G$13:$G$16,MATCH(C441,Settings!$A$13:$A$16,0)))+D441</f>
        <v/>
      </c>
      <c r="G441" s="29">
        <f>G440*(1+INDEX(Settings!$H$13:$H$16,MATCH(C441,Settings!$A$13:$A$16,0)))+D441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INDEX(Dashboard!$C$12:$C$19,MIN(8,INT((438-1)/60)+1))</f>
        <v/>
      </c>
      <c r="D442" s="29">
        <f>MIN(Dashboard!$C$9,INDEX(Settings!$B$19:$B$58,MIN(40,INT((438-1)/12)+1)))</f>
        <v/>
      </c>
      <c r="E442" s="29">
        <f>E441*(1+INDEX(Settings!$B$13:$B$16,MATCH(C442,Settings!$A$13:$A$16,0)))+D442</f>
        <v/>
      </c>
      <c r="F442" s="29">
        <f>F441*(1+INDEX(Settings!$G$13:$G$16,MATCH(C442,Settings!$A$13:$A$16,0)))+D442</f>
        <v/>
      </c>
      <c r="G442" s="29">
        <f>G441*(1+INDEX(Settings!$H$13:$H$16,MATCH(C442,Settings!$A$13:$A$16,0)))+D442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INDEX(Dashboard!$C$12:$C$19,MIN(8,INT((439-1)/60)+1))</f>
        <v/>
      </c>
      <c r="D443" s="29">
        <f>MIN(Dashboard!$C$9,INDEX(Settings!$B$19:$B$58,MIN(40,INT((439-1)/12)+1)))</f>
        <v/>
      </c>
      <c r="E443" s="29">
        <f>E442*(1+INDEX(Settings!$B$13:$B$16,MATCH(C443,Settings!$A$13:$A$16,0)))+D443</f>
        <v/>
      </c>
      <c r="F443" s="29">
        <f>F442*(1+INDEX(Settings!$G$13:$G$16,MATCH(C443,Settings!$A$13:$A$16,0)))+D443</f>
        <v/>
      </c>
      <c r="G443" s="29">
        <f>G442*(1+INDEX(Settings!$H$13:$H$16,MATCH(C443,Settings!$A$13:$A$16,0)))+D443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INDEX(Dashboard!$C$12:$C$19,MIN(8,INT((440-1)/60)+1))</f>
        <v/>
      </c>
      <c r="D444" s="29">
        <f>MIN(Dashboard!$C$9,INDEX(Settings!$B$19:$B$58,MIN(40,INT((440-1)/12)+1)))</f>
        <v/>
      </c>
      <c r="E444" s="29">
        <f>E443*(1+INDEX(Settings!$B$13:$B$16,MATCH(C444,Settings!$A$13:$A$16,0)))+D444</f>
        <v/>
      </c>
      <c r="F444" s="29">
        <f>F443*(1+INDEX(Settings!$G$13:$G$16,MATCH(C444,Settings!$A$13:$A$16,0)))+D444</f>
        <v/>
      </c>
      <c r="G444" s="29">
        <f>G443*(1+INDEX(Settings!$H$13:$H$16,MATCH(C444,Settings!$A$13:$A$16,0)))+D444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INDEX(Dashboard!$C$12:$C$19,MIN(8,INT((441-1)/60)+1))</f>
        <v/>
      </c>
      <c r="D445" s="29">
        <f>MIN(Dashboard!$C$9,INDEX(Settings!$B$19:$B$58,MIN(40,INT((441-1)/12)+1)))</f>
        <v/>
      </c>
      <c r="E445" s="29">
        <f>E444*(1+INDEX(Settings!$B$13:$B$16,MATCH(C445,Settings!$A$13:$A$16,0)))+D445</f>
        <v/>
      </c>
      <c r="F445" s="29">
        <f>F444*(1+INDEX(Settings!$G$13:$G$16,MATCH(C445,Settings!$A$13:$A$16,0)))+D445</f>
        <v/>
      </c>
      <c r="G445" s="29">
        <f>G444*(1+INDEX(Settings!$H$13:$H$16,MATCH(C445,Settings!$A$13:$A$16,0)))+D445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INDEX(Dashboard!$C$12:$C$19,MIN(8,INT((442-1)/60)+1))</f>
        <v/>
      </c>
      <c r="D446" s="29">
        <f>MIN(Dashboard!$C$9,INDEX(Settings!$B$19:$B$58,MIN(40,INT((442-1)/12)+1)))</f>
        <v/>
      </c>
      <c r="E446" s="29">
        <f>E445*(1+INDEX(Settings!$B$13:$B$16,MATCH(C446,Settings!$A$13:$A$16,0)))+D446</f>
        <v/>
      </c>
      <c r="F446" s="29">
        <f>F445*(1+INDEX(Settings!$G$13:$G$16,MATCH(C446,Settings!$A$13:$A$16,0)))+D446</f>
        <v/>
      </c>
      <c r="G446" s="29">
        <f>G445*(1+INDEX(Settings!$H$13:$H$16,MATCH(C446,Settings!$A$13:$A$16,0)))+D446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INDEX(Dashboard!$C$12:$C$19,MIN(8,INT((443-1)/60)+1))</f>
        <v/>
      </c>
      <c r="D447" s="29">
        <f>MIN(Dashboard!$C$9,INDEX(Settings!$B$19:$B$58,MIN(40,INT((443-1)/12)+1)))</f>
        <v/>
      </c>
      <c r="E447" s="29">
        <f>E446*(1+INDEX(Settings!$B$13:$B$16,MATCH(C447,Settings!$A$13:$A$16,0)))+D447</f>
        <v/>
      </c>
      <c r="F447" s="29">
        <f>F446*(1+INDEX(Settings!$G$13:$G$16,MATCH(C447,Settings!$A$13:$A$16,0)))+D447</f>
        <v/>
      </c>
      <c r="G447" s="29">
        <f>G446*(1+INDEX(Settings!$H$13:$H$16,MATCH(C447,Settings!$A$13:$A$16,0)))+D447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INDEX(Dashboard!$C$12:$C$19,MIN(8,INT((444-1)/60)+1))</f>
        <v/>
      </c>
      <c r="D448" s="29">
        <f>MIN(Dashboard!$C$9,INDEX(Settings!$B$19:$B$58,MIN(40,INT((444-1)/12)+1)))</f>
        <v/>
      </c>
      <c r="E448" s="29">
        <f>E447*(1+INDEX(Settings!$B$13:$B$16,MATCH(C448,Settings!$A$13:$A$16,0)))+D448</f>
        <v/>
      </c>
      <c r="F448" s="29">
        <f>F447*(1+INDEX(Settings!$G$13:$G$16,MATCH(C448,Settings!$A$13:$A$16,0)))+D448</f>
        <v/>
      </c>
      <c r="G448" s="29">
        <f>G447*(1+INDEX(Settings!$H$13:$H$16,MATCH(C448,Settings!$A$13:$A$16,0)))+D448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INDEX(Dashboard!$C$12:$C$19,MIN(8,INT((445-1)/60)+1))</f>
        <v/>
      </c>
      <c r="D449" s="29">
        <f>MIN(Dashboard!$C$9,INDEX(Settings!$B$19:$B$58,MIN(40,INT((445-1)/12)+1)))</f>
        <v/>
      </c>
      <c r="E449" s="29">
        <f>E448*(1+INDEX(Settings!$B$13:$B$16,MATCH(C449,Settings!$A$13:$A$16,0)))+D449</f>
        <v/>
      </c>
      <c r="F449" s="29">
        <f>F448*(1+INDEX(Settings!$G$13:$G$16,MATCH(C449,Settings!$A$13:$A$16,0)))+D449</f>
        <v/>
      </c>
      <c r="G449" s="29">
        <f>G448*(1+INDEX(Settings!$H$13:$H$16,MATCH(C449,Settings!$A$13:$A$16,0)))+D449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INDEX(Dashboard!$C$12:$C$19,MIN(8,INT((446-1)/60)+1))</f>
        <v/>
      </c>
      <c r="D450" s="29">
        <f>MIN(Dashboard!$C$9,INDEX(Settings!$B$19:$B$58,MIN(40,INT((446-1)/12)+1)))</f>
        <v/>
      </c>
      <c r="E450" s="29">
        <f>E449*(1+INDEX(Settings!$B$13:$B$16,MATCH(C450,Settings!$A$13:$A$16,0)))+D450</f>
        <v/>
      </c>
      <c r="F450" s="29">
        <f>F449*(1+INDEX(Settings!$G$13:$G$16,MATCH(C450,Settings!$A$13:$A$16,0)))+D450</f>
        <v/>
      </c>
      <c r="G450" s="29">
        <f>G449*(1+INDEX(Settings!$H$13:$H$16,MATCH(C450,Settings!$A$13:$A$16,0)))+D450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INDEX(Dashboard!$C$12:$C$19,MIN(8,INT((447-1)/60)+1))</f>
        <v/>
      </c>
      <c r="D451" s="29">
        <f>MIN(Dashboard!$C$9,INDEX(Settings!$B$19:$B$58,MIN(40,INT((447-1)/12)+1)))</f>
        <v/>
      </c>
      <c r="E451" s="29">
        <f>E450*(1+INDEX(Settings!$B$13:$B$16,MATCH(C451,Settings!$A$13:$A$16,0)))+D451</f>
        <v/>
      </c>
      <c r="F451" s="29">
        <f>F450*(1+INDEX(Settings!$G$13:$G$16,MATCH(C451,Settings!$A$13:$A$16,0)))+D451</f>
        <v/>
      </c>
      <c r="G451" s="29">
        <f>G450*(1+INDEX(Settings!$H$13:$H$16,MATCH(C451,Settings!$A$13:$A$16,0)))+D451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INDEX(Dashboard!$C$12:$C$19,MIN(8,INT((448-1)/60)+1))</f>
        <v/>
      </c>
      <c r="D452" s="29">
        <f>MIN(Dashboard!$C$9,INDEX(Settings!$B$19:$B$58,MIN(40,INT((448-1)/12)+1)))</f>
        <v/>
      </c>
      <c r="E452" s="29">
        <f>E451*(1+INDEX(Settings!$B$13:$B$16,MATCH(C452,Settings!$A$13:$A$16,0)))+D452</f>
        <v/>
      </c>
      <c r="F452" s="29">
        <f>F451*(1+INDEX(Settings!$G$13:$G$16,MATCH(C452,Settings!$A$13:$A$16,0)))+D452</f>
        <v/>
      </c>
      <c r="G452" s="29">
        <f>G451*(1+INDEX(Settings!$H$13:$H$16,MATCH(C452,Settings!$A$13:$A$16,0)))+D452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INDEX(Dashboard!$C$12:$C$19,MIN(8,INT((449-1)/60)+1))</f>
        <v/>
      </c>
      <c r="D453" s="29">
        <f>MIN(Dashboard!$C$9,INDEX(Settings!$B$19:$B$58,MIN(40,INT((449-1)/12)+1)))</f>
        <v/>
      </c>
      <c r="E453" s="29">
        <f>E452*(1+INDEX(Settings!$B$13:$B$16,MATCH(C453,Settings!$A$13:$A$16,0)))+D453</f>
        <v/>
      </c>
      <c r="F453" s="29">
        <f>F452*(1+INDEX(Settings!$G$13:$G$16,MATCH(C453,Settings!$A$13:$A$16,0)))+D453</f>
        <v/>
      </c>
      <c r="G453" s="29">
        <f>G452*(1+INDEX(Settings!$H$13:$H$16,MATCH(C453,Settings!$A$13:$A$16,0)))+D453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INDEX(Dashboard!$C$12:$C$19,MIN(8,INT((450-1)/60)+1))</f>
        <v/>
      </c>
      <c r="D454" s="29">
        <f>MIN(Dashboard!$C$9,INDEX(Settings!$B$19:$B$58,MIN(40,INT((450-1)/12)+1)))</f>
        <v/>
      </c>
      <c r="E454" s="29">
        <f>E453*(1+INDEX(Settings!$B$13:$B$16,MATCH(C454,Settings!$A$13:$A$16,0)))+D454</f>
        <v/>
      </c>
      <c r="F454" s="29">
        <f>F453*(1+INDEX(Settings!$G$13:$G$16,MATCH(C454,Settings!$A$13:$A$16,0)))+D454</f>
        <v/>
      </c>
      <c r="G454" s="29">
        <f>G453*(1+INDEX(Settings!$H$13:$H$16,MATCH(C454,Settings!$A$13:$A$16,0)))+D454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INDEX(Dashboard!$C$12:$C$19,MIN(8,INT((451-1)/60)+1))</f>
        <v/>
      </c>
      <c r="D455" s="29">
        <f>MIN(Dashboard!$C$9,INDEX(Settings!$B$19:$B$58,MIN(40,INT((451-1)/12)+1)))</f>
        <v/>
      </c>
      <c r="E455" s="29">
        <f>E454*(1+INDEX(Settings!$B$13:$B$16,MATCH(C455,Settings!$A$13:$A$16,0)))+D455</f>
        <v/>
      </c>
      <c r="F455" s="29">
        <f>F454*(1+INDEX(Settings!$G$13:$G$16,MATCH(C455,Settings!$A$13:$A$16,0)))+D455</f>
        <v/>
      </c>
      <c r="G455" s="29">
        <f>G454*(1+INDEX(Settings!$H$13:$H$16,MATCH(C455,Settings!$A$13:$A$16,0)))+D455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INDEX(Dashboard!$C$12:$C$19,MIN(8,INT((452-1)/60)+1))</f>
        <v/>
      </c>
      <c r="D456" s="29">
        <f>MIN(Dashboard!$C$9,INDEX(Settings!$B$19:$B$58,MIN(40,INT((452-1)/12)+1)))</f>
        <v/>
      </c>
      <c r="E456" s="29">
        <f>E455*(1+INDEX(Settings!$B$13:$B$16,MATCH(C456,Settings!$A$13:$A$16,0)))+D456</f>
        <v/>
      </c>
      <c r="F456" s="29">
        <f>F455*(1+INDEX(Settings!$G$13:$G$16,MATCH(C456,Settings!$A$13:$A$16,0)))+D456</f>
        <v/>
      </c>
      <c r="G456" s="29">
        <f>G455*(1+INDEX(Settings!$H$13:$H$16,MATCH(C456,Settings!$A$13:$A$16,0)))+D456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INDEX(Dashboard!$C$12:$C$19,MIN(8,INT((453-1)/60)+1))</f>
        <v/>
      </c>
      <c r="D457" s="29">
        <f>MIN(Dashboard!$C$9,INDEX(Settings!$B$19:$B$58,MIN(40,INT((453-1)/12)+1)))</f>
        <v/>
      </c>
      <c r="E457" s="29">
        <f>E456*(1+INDEX(Settings!$B$13:$B$16,MATCH(C457,Settings!$A$13:$A$16,0)))+D457</f>
        <v/>
      </c>
      <c r="F457" s="29">
        <f>F456*(1+INDEX(Settings!$G$13:$G$16,MATCH(C457,Settings!$A$13:$A$16,0)))+D457</f>
        <v/>
      </c>
      <c r="G457" s="29">
        <f>G456*(1+INDEX(Settings!$H$13:$H$16,MATCH(C457,Settings!$A$13:$A$16,0)))+D457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INDEX(Dashboard!$C$12:$C$19,MIN(8,INT((454-1)/60)+1))</f>
        <v/>
      </c>
      <c r="D458" s="29">
        <f>MIN(Dashboard!$C$9,INDEX(Settings!$B$19:$B$58,MIN(40,INT((454-1)/12)+1)))</f>
        <v/>
      </c>
      <c r="E458" s="29">
        <f>E457*(1+INDEX(Settings!$B$13:$B$16,MATCH(C458,Settings!$A$13:$A$16,0)))+D458</f>
        <v/>
      </c>
      <c r="F458" s="29">
        <f>F457*(1+INDEX(Settings!$G$13:$G$16,MATCH(C458,Settings!$A$13:$A$16,0)))+D458</f>
        <v/>
      </c>
      <c r="G458" s="29">
        <f>G457*(1+INDEX(Settings!$H$13:$H$16,MATCH(C458,Settings!$A$13:$A$16,0)))+D458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INDEX(Dashboard!$C$12:$C$19,MIN(8,INT((455-1)/60)+1))</f>
        <v/>
      </c>
      <c r="D459" s="29">
        <f>MIN(Dashboard!$C$9,INDEX(Settings!$B$19:$B$58,MIN(40,INT((455-1)/12)+1)))</f>
        <v/>
      </c>
      <c r="E459" s="29">
        <f>E458*(1+INDEX(Settings!$B$13:$B$16,MATCH(C459,Settings!$A$13:$A$16,0)))+D459</f>
        <v/>
      </c>
      <c r="F459" s="29">
        <f>F458*(1+INDEX(Settings!$G$13:$G$16,MATCH(C459,Settings!$A$13:$A$16,0)))+D459</f>
        <v/>
      </c>
      <c r="G459" s="29">
        <f>G458*(1+INDEX(Settings!$H$13:$H$16,MATCH(C459,Settings!$A$13:$A$16,0)))+D459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INDEX(Dashboard!$C$12:$C$19,MIN(8,INT((456-1)/60)+1))</f>
        <v/>
      </c>
      <c r="D460" s="29">
        <f>MIN(Dashboard!$C$9,INDEX(Settings!$B$19:$B$58,MIN(40,INT((456-1)/12)+1)))</f>
        <v/>
      </c>
      <c r="E460" s="29">
        <f>E459*(1+INDEX(Settings!$B$13:$B$16,MATCH(C460,Settings!$A$13:$A$16,0)))+D460</f>
        <v/>
      </c>
      <c r="F460" s="29">
        <f>F459*(1+INDEX(Settings!$G$13:$G$16,MATCH(C460,Settings!$A$13:$A$16,0)))+D460</f>
        <v/>
      </c>
      <c r="G460" s="29">
        <f>G459*(1+INDEX(Settings!$H$13:$H$16,MATCH(C460,Settings!$A$13:$A$16,0)))+D460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INDEX(Dashboard!$C$12:$C$19,MIN(8,INT((457-1)/60)+1))</f>
        <v/>
      </c>
      <c r="D461" s="29">
        <f>MIN(Dashboard!$C$9,INDEX(Settings!$B$19:$B$58,MIN(40,INT((457-1)/12)+1)))</f>
        <v/>
      </c>
      <c r="E461" s="29">
        <f>E460*(1+INDEX(Settings!$B$13:$B$16,MATCH(C461,Settings!$A$13:$A$16,0)))+D461</f>
        <v/>
      </c>
      <c r="F461" s="29">
        <f>F460*(1+INDEX(Settings!$G$13:$G$16,MATCH(C461,Settings!$A$13:$A$16,0)))+D461</f>
        <v/>
      </c>
      <c r="G461" s="29">
        <f>G460*(1+INDEX(Settings!$H$13:$H$16,MATCH(C461,Settings!$A$13:$A$16,0)))+D461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INDEX(Dashboard!$C$12:$C$19,MIN(8,INT((458-1)/60)+1))</f>
        <v/>
      </c>
      <c r="D462" s="29">
        <f>MIN(Dashboard!$C$9,INDEX(Settings!$B$19:$B$58,MIN(40,INT((458-1)/12)+1)))</f>
        <v/>
      </c>
      <c r="E462" s="29">
        <f>E461*(1+INDEX(Settings!$B$13:$B$16,MATCH(C462,Settings!$A$13:$A$16,0)))+D462</f>
        <v/>
      </c>
      <c r="F462" s="29">
        <f>F461*(1+INDEX(Settings!$G$13:$G$16,MATCH(C462,Settings!$A$13:$A$16,0)))+D462</f>
        <v/>
      </c>
      <c r="G462" s="29">
        <f>G461*(1+INDEX(Settings!$H$13:$H$16,MATCH(C462,Settings!$A$13:$A$16,0)))+D462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INDEX(Dashboard!$C$12:$C$19,MIN(8,INT((459-1)/60)+1))</f>
        <v/>
      </c>
      <c r="D463" s="29">
        <f>MIN(Dashboard!$C$9,INDEX(Settings!$B$19:$B$58,MIN(40,INT((459-1)/12)+1)))</f>
        <v/>
      </c>
      <c r="E463" s="29">
        <f>E462*(1+INDEX(Settings!$B$13:$B$16,MATCH(C463,Settings!$A$13:$A$16,0)))+D463</f>
        <v/>
      </c>
      <c r="F463" s="29">
        <f>F462*(1+INDEX(Settings!$G$13:$G$16,MATCH(C463,Settings!$A$13:$A$16,0)))+D463</f>
        <v/>
      </c>
      <c r="G463" s="29">
        <f>G462*(1+INDEX(Settings!$H$13:$H$16,MATCH(C463,Settings!$A$13:$A$16,0)))+D463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INDEX(Dashboard!$C$12:$C$19,MIN(8,INT((460-1)/60)+1))</f>
        <v/>
      </c>
      <c r="D464" s="29">
        <f>MIN(Dashboard!$C$9,INDEX(Settings!$B$19:$B$58,MIN(40,INT((460-1)/12)+1)))</f>
        <v/>
      </c>
      <c r="E464" s="29">
        <f>E463*(1+INDEX(Settings!$B$13:$B$16,MATCH(C464,Settings!$A$13:$A$16,0)))+D464</f>
        <v/>
      </c>
      <c r="F464" s="29">
        <f>F463*(1+INDEX(Settings!$G$13:$G$16,MATCH(C464,Settings!$A$13:$A$16,0)))+D464</f>
        <v/>
      </c>
      <c r="G464" s="29">
        <f>G463*(1+INDEX(Settings!$H$13:$H$16,MATCH(C464,Settings!$A$13:$A$16,0)))+D464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INDEX(Dashboard!$C$12:$C$19,MIN(8,INT((461-1)/60)+1))</f>
        <v/>
      </c>
      <c r="D465" s="29">
        <f>MIN(Dashboard!$C$9,INDEX(Settings!$B$19:$B$58,MIN(40,INT((461-1)/12)+1)))</f>
        <v/>
      </c>
      <c r="E465" s="29">
        <f>E464*(1+INDEX(Settings!$B$13:$B$16,MATCH(C465,Settings!$A$13:$A$16,0)))+D465</f>
        <v/>
      </c>
      <c r="F465" s="29">
        <f>F464*(1+INDEX(Settings!$G$13:$G$16,MATCH(C465,Settings!$A$13:$A$16,0)))+D465</f>
        <v/>
      </c>
      <c r="G465" s="29">
        <f>G464*(1+INDEX(Settings!$H$13:$H$16,MATCH(C465,Settings!$A$13:$A$16,0)))+D465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INDEX(Dashboard!$C$12:$C$19,MIN(8,INT((462-1)/60)+1))</f>
        <v/>
      </c>
      <c r="D466" s="29">
        <f>MIN(Dashboard!$C$9,INDEX(Settings!$B$19:$B$58,MIN(40,INT((462-1)/12)+1)))</f>
        <v/>
      </c>
      <c r="E466" s="29">
        <f>E465*(1+INDEX(Settings!$B$13:$B$16,MATCH(C466,Settings!$A$13:$A$16,0)))+D466</f>
        <v/>
      </c>
      <c r="F466" s="29">
        <f>F465*(1+INDEX(Settings!$G$13:$G$16,MATCH(C466,Settings!$A$13:$A$16,0)))+D466</f>
        <v/>
      </c>
      <c r="G466" s="29">
        <f>G465*(1+INDEX(Settings!$H$13:$H$16,MATCH(C466,Settings!$A$13:$A$16,0)))+D466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INDEX(Dashboard!$C$12:$C$19,MIN(8,INT((463-1)/60)+1))</f>
        <v/>
      </c>
      <c r="D467" s="29">
        <f>MIN(Dashboard!$C$9,INDEX(Settings!$B$19:$B$58,MIN(40,INT((463-1)/12)+1)))</f>
        <v/>
      </c>
      <c r="E467" s="29">
        <f>E466*(1+INDEX(Settings!$B$13:$B$16,MATCH(C467,Settings!$A$13:$A$16,0)))+D467</f>
        <v/>
      </c>
      <c r="F467" s="29">
        <f>F466*(1+INDEX(Settings!$G$13:$G$16,MATCH(C467,Settings!$A$13:$A$16,0)))+D467</f>
        <v/>
      </c>
      <c r="G467" s="29">
        <f>G466*(1+INDEX(Settings!$H$13:$H$16,MATCH(C467,Settings!$A$13:$A$16,0)))+D467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INDEX(Dashboard!$C$12:$C$19,MIN(8,INT((464-1)/60)+1))</f>
        <v/>
      </c>
      <c r="D468" s="29">
        <f>MIN(Dashboard!$C$9,INDEX(Settings!$B$19:$B$58,MIN(40,INT((464-1)/12)+1)))</f>
        <v/>
      </c>
      <c r="E468" s="29">
        <f>E467*(1+INDEX(Settings!$B$13:$B$16,MATCH(C468,Settings!$A$13:$A$16,0)))+D468</f>
        <v/>
      </c>
      <c r="F468" s="29">
        <f>F467*(1+INDEX(Settings!$G$13:$G$16,MATCH(C468,Settings!$A$13:$A$16,0)))+D468</f>
        <v/>
      </c>
      <c r="G468" s="29">
        <f>G467*(1+INDEX(Settings!$H$13:$H$16,MATCH(C468,Settings!$A$13:$A$16,0)))+D468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INDEX(Dashboard!$C$12:$C$19,MIN(8,INT((465-1)/60)+1))</f>
        <v/>
      </c>
      <c r="D469" s="29">
        <f>MIN(Dashboard!$C$9,INDEX(Settings!$B$19:$B$58,MIN(40,INT((465-1)/12)+1)))</f>
        <v/>
      </c>
      <c r="E469" s="29">
        <f>E468*(1+INDEX(Settings!$B$13:$B$16,MATCH(C469,Settings!$A$13:$A$16,0)))+D469</f>
        <v/>
      </c>
      <c r="F469" s="29">
        <f>F468*(1+INDEX(Settings!$G$13:$G$16,MATCH(C469,Settings!$A$13:$A$16,0)))+D469</f>
        <v/>
      </c>
      <c r="G469" s="29">
        <f>G468*(1+INDEX(Settings!$H$13:$H$16,MATCH(C469,Settings!$A$13:$A$16,0)))+D469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INDEX(Dashboard!$C$12:$C$19,MIN(8,INT((466-1)/60)+1))</f>
        <v/>
      </c>
      <c r="D470" s="29">
        <f>MIN(Dashboard!$C$9,INDEX(Settings!$B$19:$B$58,MIN(40,INT((466-1)/12)+1)))</f>
        <v/>
      </c>
      <c r="E470" s="29">
        <f>E469*(1+INDEX(Settings!$B$13:$B$16,MATCH(C470,Settings!$A$13:$A$16,0)))+D470</f>
        <v/>
      </c>
      <c r="F470" s="29">
        <f>F469*(1+INDEX(Settings!$G$13:$G$16,MATCH(C470,Settings!$A$13:$A$16,0)))+D470</f>
        <v/>
      </c>
      <c r="G470" s="29">
        <f>G469*(1+INDEX(Settings!$H$13:$H$16,MATCH(C470,Settings!$A$13:$A$16,0)))+D470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INDEX(Dashboard!$C$12:$C$19,MIN(8,INT((467-1)/60)+1))</f>
        <v/>
      </c>
      <c r="D471" s="29">
        <f>MIN(Dashboard!$C$9,INDEX(Settings!$B$19:$B$58,MIN(40,INT((467-1)/12)+1)))</f>
        <v/>
      </c>
      <c r="E471" s="29">
        <f>E470*(1+INDEX(Settings!$B$13:$B$16,MATCH(C471,Settings!$A$13:$A$16,0)))+D471</f>
        <v/>
      </c>
      <c r="F471" s="29">
        <f>F470*(1+INDEX(Settings!$G$13:$G$16,MATCH(C471,Settings!$A$13:$A$16,0)))+D471</f>
        <v/>
      </c>
      <c r="G471" s="29">
        <f>G470*(1+INDEX(Settings!$H$13:$H$16,MATCH(C471,Settings!$A$13:$A$16,0)))+D471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INDEX(Dashboard!$C$12:$C$19,MIN(8,INT((468-1)/60)+1))</f>
        <v/>
      </c>
      <c r="D472" s="29">
        <f>MIN(Dashboard!$C$9,INDEX(Settings!$B$19:$B$58,MIN(40,INT((468-1)/12)+1)))</f>
        <v/>
      </c>
      <c r="E472" s="29">
        <f>E471*(1+INDEX(Settings!$B$13:$B$16,MATCH(C472,Settings!$A$13:$A$16,0)))+D472</f>
        <v/>
      </c>
      <c r="F472" s="29">
        <f>F471*(1+INDEX(Settings!$G$13:$G$16,MATCH(C472,Settings!$A$13:$A$16,0)))+D472</f>
        <v/>
      </c>
      <c r="G472" s="29">
        <f>G471*(1+INDEX(Settings!$H$13:$H$16,MATCH(C472,Settings!$A$13:$A$16,0)))+D472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INDEX(Dashboard!$C$12:$C$19,MIN(8,INT((469-1)/60)+1))</f>
        <v/>
      </c>
      <c r="D473" s="29">
        <f>MIN(Dashboard!$C$9,INDEX(Settings!$B$19:$B$58,MIN(40,INT((469-1)/12)+1)))</f>
        <v/>
      </c>
      <c r="E473" s="29">
        <f>E472*(1+INDEX(Settings!$B$13:$B$16,MATCH(C473,Settings!$A$13:$A$16,0)))+D473</f>
        <v/>
      </c>
      <c r="F473" s="29">
        <f>F472*(1+INDEX(Settings!$G$13:$G$16,MATCH(C473,Settings!$A$13:$A$16,0)))+D473</f>
        <v/>
      </c>
      <c r="G473" s="29">
        <f>G472*(1+INDEX(Settings!$H$13:$H$16,MATCH(C473,Settings!$A$13:$A$16,0)))+D473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INDEX(Dashboard!$C$12:$C$19,MIN(8,INT((470-1)/60)+1))</f>
        <v/>
      </c>
      <c r="D474" s="29">
        <f>MIN(Dashboard!$C$9,INDEX(Settings!$B$19:$B$58,MIN(40,INT((470-1)/12)+1)))</f>
        <v/>
      </c>
      <c r="E474" s="29">
        <f>E473*(1+INDEX(Settings!$B$13:$B$16,MATCH(C474,Settings!$A$13:$A$16,0)))+D474</f>
        <v/>
      </c>
      <c r="F474" s="29">
        <f>F473*(1+INDEX(Settings!$G$13:$G$16,MATCH(C474,Settings!$A$13:$A$16,0)))+D474</f>
        <v/>
      </c>
      <c r="G474" s="29">
        <f>G473*(1+INDEX(Settings!$H$13:$H$16,MATCH(C474,Settings!$A$13:$A$16,0)))+D474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INDEX(Dashboard!$C$12:$C$19,MIN(8,INT((471-1)/60)+1))</f>
        <v/>
      </c>
      <c r="D475" s="29">
        <f>MIN(Dashboard!$C$9,INDEX(Settings!$B$19:$B$58,MIN(40,INT((471-1)/12)+1)))</f>
        <v/>
      </c>
      <c r="E475" s="29">
        <f>E474*(1+INDEX(Settings!$B$13:$B$16,MATCH(C475,Settings!$A$13:$A$16,0)))+D475</f>
        <v/>
      </c>
      <c r="F475" s="29">
        <f>F474*(1+INDEX(Settings!$G$13:$G$16,MATCH(C475,Settings!$A$13:$A$16,0)))+D475</f>
        <v/>
      </c>
      <c r="G475" s="29">
        <f>G474*(1+INDEX(Settings!$H$13:$H$16,MATCH(C475,Settings!$A$13:$A$16,0)))+D475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INDEX(Dashboard!$C$12:$C$19,MIN(8,INT((472-1)/60)+1))</f>
        <v/>
      </c>
      <c r="D476" s="29">
        <f>MIN(Dashboard!$C$9,INDEX(Settings!$B$19:$B$58,MIN(40,INT((472-1)/12)+1)))</f>
        <v/>
      </c>
      <c r="E476" s="29">
        <f>E475*(1+INDEX(Settings!$B$13:$B$16,MATCH(C476,Settings!$A$13:$A$16,0)))+D476</f>
        <v/>
      </c>
      <c r="F476" s="29">
        <f>F475*(1+INDEX(Settings!$G$13:$G$16,MATCH(C476,Settings!$A$13:$A$16,0)))+D476</f>
        <v/>
      </c>
      <c r="G476" s="29">
        <f>G475*(1+INDEX(Settings!$H$13:$H$16,MATCH(C476,Settings!$A$13:$A$16,0)))+D476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INDEX(Dashboard!$C$12:$C$19,MIN(8,INT((473-1)/60)+1))</f>
        <v/>
      </c>
      <c r="D477" s="29">
        <f>MIN(Dashboard!$C$9,INDEX(Settings!$B$19:$B$58,MIN(40,INT((473-1)/12)+1)))</f>
        <v/>
      </c>
      <c r="E477" s="29">
        <f>E476*(1+INDEX(Settings!$B$13:$B$16,MATCH(C477,Settings!$A$13:$A$16,0)))+D477</f>
        <v/>
      </c>
      <c r="F477" s="29">
        <f>F476*(1+INDEX(Settings!$G$13:$G$16,MATCH(C477,Settings!$A$13:$A$16,0)))+D477</f>
        <v/>
      </c>
      <c r="G477" s="29">
        <f>G476*(1+INDEX(Settings!$H$13:$H$16,MATCH(C477,Settings!$A$13:$A$16,0)))+D477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INDEX(Dashboard!$C$12:$C$19,MIN(8,INT((474-1)/60)+1))</f>
        <v/>
      </c>
      <c r="D478" s="29">
        <f>MIN(Dashboard!$C$9,INDEX(Settings!$B$19:$B$58,MIN(40,INT((474-1)/12)+1)))</f>
        <v/>
      </c>
      <c r="E478" s="29">
        <f>E477*(1+INDEX(Settings!$B$13:$B$16,MATCH(C478,Settings!$A$13:$A$16,0)))+D478</f>
        <v/>
      </c>
      <c r="F478" s="29">
        <f>F477*(1+INDEX(Settings!$G$13:$G$16,MATCH(C478,Settings!$A$13:$A$16,0)))+D478</f>
        <v/>
      </c>
      <c r="G478" s="29">
        <f>G477*(1+INDEX(Settings!$H$13:$H$16,MATCH(C478,Settings!$A$13:$A$16,0)))+D478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INDEX(Dashboard!$C$12:$C$19,MIN(8,INT((475-1)/60)+1))</f>
        <v/>
      </c>
      <c r="D479" s="29">
        <f>MIN(Dashboard!$C$9,INDEX(Settings!$B$19:$B$58,MIN(40,INT((475-1)/12)+1)))</f>
        <v/>
      </c>
      <c r="E479" s="29">
        <f>E478*(1+INDEX(Settings!$B$13:$B$16,MATCH(C479,Settings!$A$13:$A$16,0)))+D479</f>
        <v/>
      </c>
      <c r="F479" s="29">
        <f>F478*(1+INDEX(Settings!$G$13:$G$16,MATCH(C479,Settings!$A$13:$A$16,0)))+D479</f>
        <v/>
      </c>
      <c r="G479" s="29">
        <f>G478*(1+INDEX(Settings!$H$13:$H$16,MATCH(C479,Settings!$A$13:$A$16,0)))+D479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INDEX(Dashboard!$C$12:$C$19,MIN(8,INT((476-1)/60)+1))</f>
        <v/>
      </c>
      <c r="D480" s="29">
        <f>MIN(Dashboard!$C$9,INDEX(Settings!$B$19:$B$58,MIN(40,INT((476-1)/12)+1)))</f>
        <v/>
      </c>
      <c r="E480" s="29">
        <f>E479*(1+INDEX(Settings!$B$13:$B$16,MATCH(C480,Settings!$A$13:$A$16,0)))+D480</f>
        <v/>
      </c>
      <c r="F480" s="29">
        <f>F479*(1+INDEX(Settings!$G$13:$G$16,MATCH(C480,Settings!$A$13:$A$16,0)))+D480</f>
        <v/>
      </c>
      <c r="G480" s="29">
        <f>G479*(1+INDEX(Settings!$H$13:$H$16,MATCH(C480,Settings!$A$13:$A$16,0)))+D480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INDEX(Dashboard!$C$12:$C$19,MIN(8,INT((477-1)/60)+1))</f>
        <v/>
      </c>
      <c r="D481" s="29">
        <f>MIN(Dashboard!$C$9,INDEX(Settings!$B$19:$B$58,MIN(40,INT((477-1)/12)+1)))</f>
        <v/>
      </c>
      <c r="E481" s="29">
        <f>E480*(1+INDEX(Settings!$B$13:$B$16,MATCH(C481,Settings!$A$13:$A$16,0)))+D481</f>
        <v/>
      </c>
      <c r="F481" s="29">
        <f>F480*(1+INDEX(Settings!$G$13:$G$16,MATCH(C481,Settings!$A$13:$A$16,0)))+D481</f>
        <v/>
      </c>
      <c r="G481" s="29">
        <f>G480*(1+INDEX(Settings!$H$13:$H$16,MATCH(C481,Settings!$A$13:$A$16,0)))+D481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INDEX(Dashboard!$C$12:$C$19,MIN(8,INT((478-1)/60)+1))</f>
        <v/>
      </c>
      <c r="D482" s="29">
        <f>MIN(Dashboard!$C$9,INDEX(Settings!$B$19:$B$58,MIN(40,INT((478-1)/12)+1)))</f>
        <v/>
      </c>
      <c r="E482" s="29">
        <f>E481*(1+INDEX(Settings!$B$13:$B$16,MATCH(C482,Settings!$A$13:$A$16,0)))+D482</f>
        <v/>
      </c>
      <c r="F482" s="29">
        <f>F481*(1+INDEX(Settings!$G$13:$G$16,MATCH(C482,Settings!$A$13:$A$16,0)))+D482</f>
        <v/>
      </c>
      <c r="G482" s="29">
        <f>G481*(1+INDEX(Settings!$H$13:$H$16,MATCH(C482,Settings!$A$13:$A$16,0)))+D482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INDEX(Dashboard!$C$12:$C$19,MIN(8,INT((479-1)/60)+1))</f>
        <v/>
      </c>
      <c r="D483" s="29">
        <f>MIN(Dashboard!$C$9,INDEX(Settings!$B$19:$B$58,MIN(40,INT((479-1)/12)+1)))</f>
        <v/>
      </c>
      <c r="E483" s="29">
        <f>E482*(1+INDEX(Settings!$B$13:$B$16,MATCH(C483,Settings!$A$13:$A$16,0)))+D483</f>
        <v/>
      </c>
      <c r="F483" s="29">
        <f>F482*(1+INDEX(Settings!$G$13:$G$16,MATCH(C483,Settings!$A$13:$A$16,0)))+D483</f>
        <v/>
      </c>
      <c r="G483" s="29">
        <f>G482*(1+INDEX(Settings!$H$13:$H$16,MATCH(C483,Settings!$A$13:$A$16,0)))+D483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INDEX(Dashboard!$C$12:$C$19,MIN(8,INT((480-1)/60)+1))</f>
        <v/>
      </c>
      <c r="D484" s="29">
        <f>MIN(Dashboard!$C$9,INDEX(Settings!$B$19:$B$58,MIN(40,INT((480-1)/12)+1)))</f>
        <v/>
      </c>
      <c r="E484" s="29">
        <f>E483*(1+INDEX(Settings!$B$13:$B$16,MATCH(C484,Settings!$A$13:$A$16,0)))+D484</f>
        <v/>
      </c>
      <c r="F484" s="29">
        <f>F483*(1+INDEX(Settings!$G$13:$G$16,MATCH(C484,Settings!$A$13:$A$16,0)))+D484</f>
        <v/>
      </c>
      <c r="G484" s="29">
        <f>G483*(1+INDEX(Settings!$H$13:$H$16,MATCH(C484,Settings!$A$13:$A$16,0)))+D484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8" t="inlineStr">
        <is>
          <t>Tier</t>
        </is>
      </c>
      <c r="B12" s="38" t="inlineStr">
        <is>
          <t>Mean monthly</t>
        </is>
      </c>
      <c r="C12" s="38" t="inlineStr">
        <is>
          <t>Annual</t>
        </is>
      </c>
      <c r="D12" s="38" t="inlineStr">
        <is>
          <t>Monthly sd</t>
        </is>
      </c>
      <c r="E12" s="38" t="inlineStr">
        <is>
          <t>Annual sd</t>
        </is>
      </c>
      <c r="F12" s="38" t="inlineStr">
        <is>
          <t>S.E. (avg, horizon)</t>
        </is>
      </c>
      <c r="G12" s="38" t="inlineStr">
        <is>
          <t>Low monthly</t>
        </is>
      </c>
      <c r="H12" s="38" t="inlineStr">
        <is>
          <t>High monthly</t>
        </is>
      </c>
    </row>
    <row r="13">
      <c r="A13" s="50" t="inlineStr">
        <is>
          <t>CONS</t>
        </is>
      </c>
      <c r="B13" s="39">
        <f>(SUMPRODUCT($B$6:$E$6,Data!$B$6:$E$6)-$B$8/10000/12)*(1-$B$10)</f>
        <v/>
      </c>
      <c r="C13" s="51">
        <f>(1+B13)^12-1</f>
        <v/>
      </c>
      <c r="D13" s="39">
        <f>SUMPRODUCT($B$6:$E$6,Data!$B$13:$E$13)</f>
        <v/>
      </c>
      <c r="E13" s="51">
        <f>D13*SQRT(12)</f>
        <v/>
      </c>
      <c r="F13" s="51">
        <f>E13/SQRT(MAX(1,$B$9))</f>
        <v/>
      </c>
      <c r="G13" s="39">
        <f>(1+C13-F13)^(1/12)-1</f>
        <v/>
      </c>
      <c r="H13" s="39">
        <f>(1+C13+F13)^(1/12)-1</f>
        <v/>
      </c>
    </row>
    <row r="14">
      <c r="A14" s="50" t="inlineStr">
        <is>
          <t>MOD</t>
        </is>
      </c>
      <c r="B14" s="39">
        <f>(SUMPRODUCT($B$6:$E$6,Data!$B$7:$E$7)-$B$8/10000/12)*(1-$B$10)</f>
        <v/>
      </c>
      <c r="C14" s="51">
        <f>(1+B14)^12-1</f>
        <v/>
      </c>
      <c r="D14" s="39">
        <f>SUMPRODUCT($B$6:$E$6,Data!$B$14:$E$14)</f>
        <v/>
      </c>
      <c r="E14" s="51">
        <f>D14*SQRT(12)</f>
        <v/>
      </c>
      <c r="F14" s="51">
        <f>E14/SQRT(MAX(1,$B$9))</f>
        <v/>
      </c>
      <c r="G14" s="39">
        <f>(1+C14-F14)^(1/12)-1</f>
        <v/>
      </c>
      <c r="H14" s="39">
        <f>(1+C14+F14)^(1/12)-1</f>
        <v/>
      </c>
    </row>
    <row r="15">
      <c r="A15" s="50" t="inlineStr">
        <is>
          <t>AGG</t>
        </is>
      </c>
      <c r="B15" s="39">
        <f>(SUMPRODUCT($B$6:$E$6,Data!$B$8:$E$8)-$B$8/10000/12)*(1-$B$10)</f>
        <v/>
      </c>
      <c r="C15" s="51">
        <f>(1+B15)^12-1</f>
        <v/>
      </c>
      <c r="D15" s="39">
        <f>SUMPRODUCT($B$6:$E$6,Data!$B$15:$E$15)</f>
        <v/>
      </c>
      <c r="E15" s="51">
        <f>D15*SQRT(12)</f>
        <v/>
      </c>
      <c r="F15" s="51">
        <f>E15/SQRT(MAX(1,$B$9))</f>
        <v/>
      </c>
      <c r="G15" s="39">
        <f>(1+C15-F15)^(1/12)-1</f>
        <v/>
      </c>
      <c r="H15" s="39">
        <f>(1+C15+F15)^(1/12)-1</f>
        <v/>
      </c>
    </row>
    <row r="16">
      <c r="A16" s="50" t="inlineStr">
        <is>
          <t>VAGG</t>
        </is>
      </c>
      <c r="B16" s="39">
        <f>(SUMPRODUCT($B$6:$E$6,Data!$B$9:$E$9)-$B$8/10000/12)*(1-$B$10)</f>
        <v/>
      </c>
      <c r="C16" s="51">
        <f>(1+B16)^12-1</f>
        <v/>
      </c>
      <c r="D16" s="39">
        <f>SUMPRODUCT($B$6:$E$6,Data!$B$16:$E$16)</f>
        <v/>
      </c>
      <c r="E16" s="51">
        <f>D16*SQRT(12)</f>
        <v/>
      </c>
      <c r="F16" s="51">
        <f>E16/SQRT(MAX(1,$B$9))</f>
        <v/>
      </c>
      <c r="G16" s="39">
        <f>(1+C16-F16)^(1/12)-1</f>
        <v/>
      </c>
      <c r="H16" s="39">
        <f>(1+C16+F16)^(1/12)-1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(v2 rotation backtest,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0.00769</v>
      </c>
      <c r="D6" s="55" t="n">
        <v>-0.00047</v>
      </c>
      <c r="E6" s="55" t="n">
        <v>0.007820000000000001</v>
      </c>
    </row>
    <row r="7">
      <c r="A7" s="50" t="inlineStr">
        <is>
          <t>MOD</t>
        </is>
      </c>
      <c r="B7" s="55" t="n">
        <v>0.01397</v>
      </c>
      <c r="C7" s="55" t="n">
        <v>0.01033</v>
      </c>
      <c r="D7" s="55" t="n">
        <v>-0.0011</v>
      </c>
      <c r="E7" s="55" t="n">
        <v>0.01283</v>
      </c>
    </row>
    <row r="8">
      <c r="A8" s="50" t="inlineStr">
        <is>
          <t>AGG</t>
        </is>
      </c>
      <c r="B8" s="55" t="n">
        <v>0.03406</v>
      </c>
      <c r="C8" s="55" t="n">
        <v>0.01138</v>
      </c>
      <c r="D8" s="55" t="n">
        <v>-0.00554</v>
      </c>
      <c r="E8" s="55" t="n">
        <v>0.01183</v>
      </c>
    </row>
    <row r="9">
      <c r="A9" s="50" t="inlineStr">
        <is>
          <t>VAGG</t>
        </is>
      </c>
      <c r="B9" s="55" t="n">
        <v>0.05004</v>
      </c>
      <c r="C9" s="55" t="n">
        <v>0.01556</v>
      </c>
      <c r="D9" s="55" t="n">
        <v>-0.00698</v>
      </c>
      <c r="E9" s="55" t="n">
        <v>0.01445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0.0223</v>
      </c>
      <c r="D13" s="55" t="n">
        <v>0.01283</v>
      </c>
      <c r="E13" s="55" t="n">
        <v>0.0278</v>
      </c>
    </row>
    <row r="14">
      <c r="A14" s="50" t="inlineStr">
        <is>
          <t>MOD</t>
        </is>
      </c>
      <c r="B14" s="55" t="n">
        <v>0.03064</v>
      </c>
      <c r="C14" s="55" t="n">
        <v>0.03189</v>
      </c>
      <c r="D14" s="55" t="n">
        <v>0.01504</v>
      </c>
      <c r="E14" s="55" t="n">
        <v>0.03919</v>
      </c>
    </row>
    <row r="15">
      <c r="A15" s="50" t="inlineStr">
        <is>
          <t>AGG</t>
        </is>
      </c>
      <c r="B15" s="55" t="n">
        <v>0.09061</v>
      </c>
      <c r="C15" s="55" t="n">
        <v>0.04874</v>
      </c>
      <c r="D15" s="55" t="n">
        <v>0.02913</v>
      </c>
      <c r="E15" s="55" t="n">
        <v>0.0717</v>
      </c>
    </row>
    <row r="16">
      <c r="A16" s="50" t="inlineStr">
        <is>
          <t>VAGG</t>
        </is>
      </c>
      <c r="B16" s="55" t="n">
        <v>0.13741</v>
      </c>
      <c r="C16" s="55" t="n">
        <v>0.06776</v>
      </c>
      <c r="D16" s="55" t="n">
        <v>0.03462</v>
      </c>
      <c r="E16" s="55" t="n">
        <v>0.1052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1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1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1" t="inlineStr">
        <is>
          <t>Contributions</t>
        </is>
      </c>
    </row>
    <row r="10" ht="42" customHeight="1">
      <c r="A10" s="58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41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1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1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1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1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1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2026-08-20T20:30:52Z</dcterms:created>
  <dcterms:modified xsi:type="dcterms:W3CDTF">2026-08-20T20:30:52Z</dcterms:modified>
</cp:coreProperties>
</file>