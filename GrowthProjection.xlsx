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Months from start (age 25 -&gt; 65)</a:t>
                </a:r>
              </a:p>
            </rich>
          </tx>
        </title>
        <majorTickMark val="none"/>
        <minorTickMark val="none"/>
        <crossAx val="100"/>
        <lblOffset val="100"/>
        <tickLblSkip val="60"/>
        <tickMarkSkip val="6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Account balance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dLbls>
          <numFmt formatCode="0.0%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Portfolio / benchmark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Compound annual return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dLbls>
          <numFmt formatCode="$#,##0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Strategy / benchmark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After-tax balance at end age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September 09,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1500</v>
      </c>
    </row>
    <row r="9">
      <c r="A9" s="5" t="inlineStr">
        <is>
          <t>Contribution cap ($/mo)</t>
        </is>
      </c>
      <c r="C9" s="7" t="n">
        <v>40000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v8 (AGG Reflation leverage on the energy leg — QQQ 1x + ERX 2x; conditional-duration S, D-cell gold + washout-conditional rebound slice,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0.1534</v>
      </c>
      <c r="C7" s="21" t="n">
        <v>1.7215</v>
      </c>
      <c r="D7" s="21" t="n">
        <v>1.2463</v>
      </c>
      <c r="E7" s="20" t="n">
        <v>-0.1433</v>
      </c>
      <c r="F7" s="21" t="n">
        <v>0.3271</v>
      </c>
      <c r="G7" s="20" t="n">
        <v>0.1463</v>
      </c>
      <c r="H7" s="20" t="n">
        <v>0.2998</v>
      </c>
      <c r="I7" s="20" t="n">
        <v>0.0115</v>
      </c>
      <c r="J7" s="20" t="n">
        <v>0.3012</v>
      </c>
      <c r="K7" s="20" t="n">
        <v>0.1833</v>
      </c>
    </row>
    <row r="8">
      <c r="A8" s="17" t="inlineStr">
        <is>
          <t>AGG</t>
        </is>
      </c>
      <c r="B8" s="18" t="n">
        <v>0.2464</v>
      </c>
      <c r="C8" s="19" t="n">
        <v>1.2614</v>
      </c>
      <c r="D8" s="19" t="n">
        <v>0.9626</v>
      </c>
      <c r="E8" s="18" t="n">
        <v>-0.3422</v>
      </c>
      <c r="F8" s="19" t="n">
        <v>0.6035</v>
      </c>
      <c r="G8" s="18" t="n">
        <v>0.3038</v>
      </c>
      <c r="H8" s="18" t="n">
        <v>0.6695</v>
      </c>
      <c r="I8" s="18" t="n">
        <v>-0.1363</v>
      </c>
      <c r="J8" s="18" t="n">
        <v>0.5427</v>
      </c>
      <c r="K8" s="18" t="n">
        <v>0.3711</v>
      </c>
    </row>
    <row r="9">
      <c r="A9" s="17" t="inlineStr">
        <is>
          <t>VAGG</t>
        </is>
      </c>
      <c r="B9" s="20" t="n">
        <v>0.3242</v>
      </c>
      <c r="C9" s="21" t="n">
        <v>1.1091</v>
      </c>
      <c r="D9" s="21" t="n">
        <v>0.8711</v>
      </c>
      <c r="E9" s="20" t="n">
        <v>-0.4696</v>
      </c>
      <c r="F9" s="21" t="n">
        <v>0.981</v>
      </c>
      <c r="G9" s="20" t="n">
        <v>0.3983</v>
      </c>
      <c r="H9" s="20" t="n">
        <v>1.1519</v>
      </c>
      <c r="I9" s="20" t="n">
        <v>-0.3432</v>
      </c>
      <c r="J9" s="20" t="n">
        <v>0.6012999999999999</v>
      </c>
      <c r="K9" s="20" t="n">
        <v>0.3673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driven by the RAMP STAGES table (edit the yellow rates)</t>
        </is>
      </c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22" t="inlineStr">
        <is>
          <t>Year 1</t>
        </is>
      </c>
      <c r="B19" s="52">
        <f>Dashboard!$C$8</f>
        <v/>
      </c>
      <c r="D19" s="16" t="inlineStr">
        <is>
          <t>Ramp stage</t>
        </is>
      </c>
      <c r="E19" s="16" t="inlineStr">
        <is>
          <t>From yr</t>
        </is>
      </c>
      <c r="F19" s="16" t="inlineStr">
        <is>
          <t>Growth %/yr</t>
        </is>
      </c>
    </row>
    <row r="20">
      <c r="A20" s="22" t="inlineStr">
        <is>
          <t>Year 2</t>
        </is>
      </c>
      <c r="B20" s="52">
        <f>ROUND(B19*(1+INDEX($F$20:$F$32,MATCH(2,$E$20:$E$32,1)))/25,0)*25</f>
        <v/>
      </c>
      <c r="D20" s="22" t="inlineStr">
        <is>
          <t>Ages 26-28</t>
        </is>
      </c>
      <c r="E20" s="27" t="n">
        <v>2</v>
      </c>
      <c r="F20" s="8" t="n">
        <v>0.35</v>
      </c>
    </row>
    <row r="21">
      <c r="A21" s="22" t="inlineStr">
        <is>
          <t>Year 3</t>
        </is>
      </c>
      <c r="B21" s="52">
        <f>ROUND(B20*(1+INDEX($F$20:$F$32,MATCH(3,$E$20:$E$32,1)))/25,0)*25</f>
        <v/>
      </c>
      <c r="D21" s="22" t="inlineStr">
        <is>
          <t>Ages 29-31</t>
        </is>
      </c>
      <c r="E21" s="27" t="n">
        <v>5</v>
      </c>
      <c r="F21" s="8" t="n">
        <v>0.15</v>
      </c>
    </row>
    <row r="22">
      <c r="A22" s="22" t="inlineStr">
        <is>
          <t>Year 4</t>
        </is>
      </c>
      <c r="B22" s="52">
        <f>ROUND(B21*(1+INDEX($F$20:$F$32,MATCH(4,$E$20:$E$32,1)))/25,0)*25</f>
        <v/>
      </c>
      <c r="D22" s="22" t="inlineStr">
        <is>
          <t>Ages 32-34</t>
        </is>
      </c>
      <c r="E22" s="27" t="n">
        <v>8</v>
      </c>
      <c r="F22" s="8" t="n">
        <v>0.1</v>
      </c>
    </row>
    <row r="23">
      <c r="A23" s="22" t="inlineStr">
        <is>
          <t>Year 5</t>
        </is>
      </c>
      <c r="B23" s="52">
        <f>ROUND(B22*(1+INDEX($F$20:$F$32,MATCH(5,$E$20:$E$32,1)))/25,0)*25</f>
        <v/>
      </c>
      <c r="D23" s="22" t="inlineStr">
        <is>
          <t>Ages 35-37</t>
        </is>
      </c>
      <c r="E23" s="27" t="n">
        <v>11</v>
      </c>
      <c r="F23" s="8" t="n">
        <v>0.08</v>
      </c>
    </row>
    <row r="24">
      <c r="A24" s="22" t="inlineStr">
        <is>
          <t>Year 6</t>
        </is>
      </c>
      <c r="B24" s="52">
        <f>ROUND(B23*(1+INDEX($F$20:$F$32,MATCH(6,$E$20:$E$32,1)))/25,0)*25</f>
        <v/>
      </c>
      <c r="D24" s="22" t="inlineStr">
        <is>
          <t>Ages 38-40</t>
        </is>
      </c>
      <c r="E24" s="27" t="n">
        <v>14</v>
      </c>
      <c r="F24" s="8" t="n">
        <v>0.08</v>
      </c>
    </row>
    <row r="25">
      <c r="A25" s="22" t="inlineStr">
        <is>
          <t>Year 7</t>
        </is>
      </c>
      <c r="B25" s="52">
        <f>ROUND(B24*(1+INDEX($F$20:$F$32,MATCH(7,$E$20:$E$32,1)))/25,0)*25</f>
        <v/>
      </c>
      <c r="D25" s="22" t="inlineStr">
        <is>
          <t>Ages 41-43</t>
        </is>
      </c>
      <c r="E25" s="27" t="n">
        <v>17</v>
      </c>
      <c r="F25" s="8" t="n">
        <v>0.07000000000000001</v>
      </c>
    </row>
    <row r="26">
      <c r="A26" s="22" t="inlineStr">
        <is>
          <t>Year 8</t>
        </is>
      </c>
      <c r="B26" s="52">
        <f>ROUND(B25*(1+INDEX($F$20:$F$32,MATCH(8,$E$20:$E$32,1)))/25,0)*25</f>
        <v/>
      </c>
      <c r="D26" s="22" t="inlineStr">
        <is>
          <t>Ages 44-46</t>
        </is>
      </c>
      <c r="E26" s="27" t="n">
        <v>20</v>
      </c>
      <c r="F26" s="8" t="n">
        <v>0.07000000000000001</v>
      </c>
    </row>
    <row r="27">
      <c r="A27" s="22" t="inlineStr">
        <is>
          <t>Year 9</t>
        </is>
      </c>
      <c r="B27" s="52">
        <f>ROUND(B26*(1+INDEX($F$20:$F$32,MATCH(9,$E$20:$E$32,1)))/25,0)*25</f>
        <v/>
      </c>
      <c r="D27" s="22" t="inlineStr">
        <is>
          <t>Ages 47-49</t>
        </is>
      </c>
      <c r="E27" s="27" t="n">
        <v>23</v>
      </c>
      <c r="F27" s="8" t="n">
        <v>0.07000000000000001</v>
      </c>
    </row>
    <row r="28">
      <c r="A28" s="22" t="inlineStr">
        <is>
          <t>Year 10</t>
        </is>
      </c>
      <c r="B28" s="52">
        <f>ROUND(B27*(1+INDEX($F$20:$F$32,MATCH(10,$E$20:$E$32,1)))/25,0)*25</f>
        <v/>
      </c>
      <c r="D28" s="22" t="inlineStr">
        <is>
          <t>Ages 50-52</t>
        </is>
      </c>
      <c r="E28" s="27" t="n">
        <v>26</v>
      </c>
      <c r="F28" s="8" t="n">
        <v>0.06</v>
      </c>
    </row>
    <row r="29">
      <c r="A29" s="22" t="inlineStr">
        <is>
          <t>Year 11</t>
        </is>
      </c>
      <c r="B29" s="52">
        <f>ROUND(B28*(1+INDEX($F$20:$F$32,MATCH(11,$E$20:$E$32,1)))/25,0)*25</f>
        <v/>
      </c>
      <c r="D29" s="22" t="inlineStr">
        <is>
          <t>Ages 53-55</t>
        </is>
      </c>
      <c r="E29" s="27" t="n">
        <v>29</v>
      </c>
      <c r="F29" s="8" t="n">
        <v>0.06</v>
      </c>
    </row>
    <row r="30">
      <c r="A30" s="22" t="inlineStr">
        <is>
          <t>Year 12</t>
        </is>
      </c>
      <c r="B30" s="52">
        <f>ROUND(B29*(1+INDEX($F$20:$F$32,MATCH(12,$E$20:$E$32,1)))/25,0)*25</f>
        <v/>
      </c>
      <c r="D30" s="22" t="inlineStr">
        <is>
          <t>Ages 56-58</t>
        </is>
      </c>
      <c r="E30" s="27" t="n">
        <v>32</v>
      </c>
      <c r="F30" s="8" t="n">
        <v>0.05</v>
      </c>
    </row>
    <row r="31">
      <c r="A31" s="22" t="inlineStr">
        <is>
          <t>Year 13</t>
        </is>
      </c>
      <c r="B31" s="52">
        <f>ROUND(B30*(1+INDEX($F$20:$F$32,MATCH(13,$E$20:$E$32,1)))/25,0)*25</f>
        <v/>
      </c>
      <c r="D31" s="22" t="inlineStr">
        <is>
          <t>Ages 59-61</t>
        </is>
      </c>
      <c r="E31" s="27" t="n">
        <v>35</v>
      </c>
      <c r="F31" s="8" t="n">
        <v>0.05</v>
      </c>
    </row>
    <row r="32">
      <c r="A32" s="22" t="inlineStr">
        <is>
          <t>Year 14</t>
        </is>
      </c>
      <c r="B32" s="52">
        <f>ROUND(B31*(1+INDEX($F$20:$F$32,MATCH(14,$E$20:$E$32,1)))/25,0)*25</f>
        <v/>
      </c>
      <c r="D32" s="22" t="inlineStr">
        <is>
          <t>Ages 62-64</t>
        </is>
      </c>
      <c r="E32" s="27" t="n">
        <v>38</v>
      </c>
      <c r="F32" s="8" t="n">
        <v>0.05</v>
      </c>
    </row>
    <row r="33">
      <c r="A33" s="22" t="inlineStr">
        <is>
          <t>Year 15</t>
        </is>
      </c>
      <c r="B33" s="52">
        <f>ROUND(B32*(1+INDEX($F$20:$F$32,MATCH(15,$E$20:$E$32,1)))/25,0)*25</f>
        <v/>
      </c>
    </row>
    <row r="34">
      <c r="A34" s="22" t="inlineStr">
        <is>
          <t>Year 16</t>
        </is>
      </c>
      <c r="B34" s="52">
        <f>ROUND(B33*(1+INDEX($F$20:$F$32,MATCH(16,$E$20:$E$32,1)))/25,0)*25</f>
        <v/>
      </c>
    </row>
    <row r="35">
      <c r="A35" s="22" t="inlineStr">
        <is>
          <t>Year 17</t>
        </is>
      </c>
      <c r="B35" s="52">
        <f>ROUND(B34*(1+INDEX($F$20:$F$32,MATCH(17,$E$20:$E$32,1)))/25,0)*25</f>
        <v/>
      </c>
    </row>
    <row r="36">
      <c r="A36" s="22" t="inlineStr">
        <is>
          <t>Year 18</t>
        </is>
      </c>
      <c r="B36" s="52">
        <f>ROUND(B35*(1+INDEX($F$20:$F$32,MATCH(18,$E$20:$E$32,1)))/25,0)*25</f>
        <v/>
      </c>
    </row>
    <row r="37">
      <c r="A37" s="22" t="inlineStr">
        <is>
          <t>Year 19</t>
        </is>
      </c>
      <c r="B37" s="52">
        <f>ROUND(B36*(1+INDEX($F$20:$F$32,MATCH(19,$E$20:$E$32,1)))/25,0)*25</f>
        <v/>
      </c>
    </row>
    <row r="38">
      <c r="A38" s="22" t="inlineStr">
        <is>
          <t>Year 20</t>
        </is>
      </c>
      <c r="B38" s="52">
        <f>ROUND(B37*(1+INDEX($F$20:$F$32,MATCH(20,$E$20:$E$32,1)))/25,0)*25</f>
        <v/>
      </c>
    </row>
    <row r="39">
      <c r="A39" s="22" t="inlineStr">
        <is>
          <t>Year 21</t>
        </is>
      </c>
      <c r="B39" s="52">
        <f>ROUND(B38*(1+INDEX($F$20:$F$32,MATCH(21,$E$20:$E$32,1)))/25,0)*25</f>
        <v/>
      </c>
    </row>
    <row r="40">
      <c r="A40" s="22" t="inlineStr">
        <is>
          <t>Year 22</t>
        </is>
      </c>
      <c r="B40" s="52">
        <f>ROUND(B39*(1+INDEX($F$20:$F$32,MATCH(22,$E$20:$E$32,1)))/25,0)*25</f>
        <v/>
      </c>
    </row>
    <row r="41">
      <c r="A41" s="22" t="inlineStr">
        <is>
          <t>Year 23</t>
        </is>
      </c>
      <c r="B41" s="52">
        <f>ROUND(B40*(1+INDEX($F$20:$F$32,MATCH(23,$E$20:$E$32,1)))/25,0)*25</f>
        <v/>
      </c>
    </row>
    <row r="42">
      <c r="A42" s="22" t="inlineStr">
        <is>
          <t>Year 24</t>
        </is>
      </c>
      <c r="B42" s="52">
        <f>ROUND(B41*(1+INDEX($F$20:$F$32,MATCH(24,$E$20:$E$32,1)))/25,0)*25</f>
        <v/>
      </c>
    </row>
    <row r="43">
      <c r="A43" s="22" t="inlineStr">
        <is>
          <t>Year 25</t>
        </is>
      </c>
      <c r="B43" s="52">
        <f>ROUND(B42*(1+INDEX($F$20:$F$32,MATCH(25,$E$20:$E$32,1)))/25,0)*25</f>
        <v/>
      </c>
    </row>
    <row r="44">
      <c r="A44" s="22" t="inlineStr">
        <is>
          <t>Year 26</t>
        </is>
      </c>
      <c r="B44" s="52">
        <f>ROUND(B43*(1+INDEX($F$20:$F$32,MATCH(26,$E$20:$E$32,1)))/25,0)*25</f>
        <v/>
      </c>
    </row>
    <row r="45">
      <c r="A45" s="22" t="inlineStr">
        <is>
          <t>Year 27</t>
        </is>
      </c>
      <c r="B45" s="52">
        <f>ROUND(B44*(1+INDEX($F$20:$F$32,MATCH(27,$E$20:$E$32,1)))/25,0)*25</f>
        <v/>
      </c>
    </row>
    <row r="46">
      <c r="A46" s="22" t="inlineStr">
        <is>
          <t>Year 28</t>
        </is>
      </c>
      <c r="B46" s="52">
        <f>ROUND(B45*(1+INDEX($F$20:$F$32,MATCH(28,$E$20:$E$32,1)))/25,0)*25</f>
        <v/>
      </c>
    </row>
    <row r="47">
      <c r="A47" s="22" t="inlineStr">
        <is>
          <t>Year 29</t>
        </is>
      </c>
      <c r="B47" s="52">
        <f>ROUND(B46*(1+INDEX($F$20:$F$32,MATCH(29,$E$20:$E$32,1)))/25,0)*25</f>
        <v/>
      </c>
    </row>
    <row r="48">
      <c r="A48" s="22" t="inlineStr">
        <is>
          <t>Year 30</t>
        </is>
      </c>
      <c r="B48" s="52">
        <f>ROUND(B47*(1+INDEX($F$20:$F$32,MATCH(30,$E$20:$E$32,1)))/25,0)*25</f>
        <v/>
      </c>
    </row>
    <row r="49">
      <c r="A49" s="22" t="inlineStr">
        <is>
          <t>Year 31</t>
        </is>
      </c>
      <c r="B49" s="52">
        <f>ROUND(B48*(1+INDEX($F$20:$F$32,MATCH(31,$E$20:$E$32,1)))/25,0)*25</f>
        <v/>
      </c>
    </row>
    <row r="50">
      <c r="A50" s="22" t="inlineStr">
        <is>
          <t>Year 32</t>
        </is>
      </c>
      <c r="B50" s="52">
        <f>ROUND(B49*(1+INDEX($F$20:$F$32,MATCH(32,$E$20:$E$32,1)))/25,0)*25</f>
        <v/>
      </c>
    </row>
    <row r="51">
      <c r="A51" s="22" t="inlineStr">
        <is>
          <t>Year 33</t>
        </is>
      </c>
      <c r="B51" s="52">
        <f>ROUND(B50*(1+INDEX($F$20:$F$32,MATCH(33,$E$20:$E$32,1)))/25,0)*25</f>
        <v/>
      </c>
    </row>
    <row r="52">
      <c r="A52" s="22" t="inlineStr">
        <is>
          <t>Year 34</t>
        </is>
      </c>
      <c r="B52" s="52">
        <f>ROUND(B51*(1+INDEX($F$20:$F$32,MATCH(34,$E$20:$E$32,1)))/25,0)*25</f>
        <v/>
      </c>
    </row>
    <row r="53">
      <c r="A53" s="22" t="inlineStr">
        <is>
          <t>Year 35</t>
        </is>
      </c>
      <c r="B53" s="52">
        <f>ROUND(B52*(1+INDEX($F$20:$F$32,MATCH(35,$E$20:$E$32,1)))/25,0)*25</f>
        <v/>
      </c>
    </row>
    <row r="54">
      <c r="A54" s="22" t="inlineStr">
        <is>
          <t>Year 36</t>
        </is>
      </c>
      <c r="B54" s="52">
        <f>ROUND(B53*(1+INDEX($F$20:$F$32,MATCH(36,$E$20:$E$32,1)))/25,0)*25</f>
        <v/>
      </c>
    </row>
    <row r="55">
      <c r="A55" s="22" t="inlineStr">
        <is>
          <t>Year 37</t>
        </is>
      </c>
      <c r="B55" s="52">
        <f>ROUND(B54*(1+INDEX($F$20:$F$32,MATCH(37,$E$20:$E$32,1)))/25,0)*25</f>
        <v/>
      </c>
    </row>
    <row r="56">
      <c r="A56" s="22" t="inlineStr">
        <is>
          <t>Year 38</t>
        </is>
      </c>
      <c r="B56" s="52">
        <f>ROUND(B55*(1+INDEX($F$20:$F$32,MATCH(38,$E$20:$E$32,1)))/25,0)*25</f>
        <v/>
      </c>
    </row>
    <row r="57">
      <c r="A57" s="22" t="inlineStr">
        <is>
          <t>Year 39</t>
        </is>
      </c>
      <c r="B57" s="52">
        <f>ROUND(B56*(1+INDEX($F$20:$F$32,MATCH(39,$E$20:$E$32,1)))/25,0)*25</f>
        <v/>
      </c>
    </row>
    <row r="58">
      <c r="A58" s="22" t="inlineStr">
        <is>
          <t>Year 40</t>
        </is>
      </c>
      <c r="B58" s="52">
        <f>ROUND(B57*(1+INDEX($F$20:$F$32,MATCH(40,$E$20:$E$32,1)))/25,0)*25</f>
        <v/>
      </c>
    </row>
    <row r="59">
      <c r="A59" s="9" t="inlineStr">
        <is>
          <t>Yr 1 links to the Dashboard; every later year = prior year x (1 + its stage rate). Change the 13 yellow stage rates to reshape the whole ramp. Defaults honor the user's anchors: 35%/yr ages 26-28 (no kids), then tapering 15%-&gt;5%; crosses $5k/mo ~age 31, $7k ~34; cap ($40k, Dashboard) leaves the entire 50s uncapped and binds only ~age 62+.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v8,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0.01795</v>
      </c>
    </row>
    <row r="8">
      <c r="A8" s="50" t="inlineStr">
        <is>
          <t>AGG</t>
        </is>
      </c>
      <c r="B8" s="55" t="n">
        <v>0.03406</v>
      </c>
      <c r="C8" s="55" t="n">
        <v>0.01308</v>
      </c>
      <c r="D8" s="55" t="n">
        <v>0.00804</v>
      </c>
      <c r="E8" s="55" t="n">
        <v>0.02203</v>
      </c>
    </row>
    <row r="9">
      <c r="A9" s="50" t="inlineStr">
        <is>
          <t>VAGG</t>
        </is>
      </c>
      <c r="B9" s="55" t="n">
        <v>0.05004</v>
      </c>
      <c r="C9" s="55" t="n">
        <v>0.01582</v>
      </c>
      <c r="D9" s="55" t="n">
        <v>0.00869</v>
      </c>
      <c r="E9" s="55" t="n">
        <v>0.02989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0.035</v>
      </c>
    </row>
    <row r="15">
      <c r="A15" s="50" t="inlineStr">
        <is>
          <t>AGG</t>
        </is>
      </c>
      <c r="B15" s="55" t="n">
        <v>0.09061</v>
      </c>
      <c r="C15" s="55" t="n">
        <v>0.05218</v>
      </c>
      <c r="D15" s="55" t="n">
        <v>0.03079</v>
      </c>
      <c r="E15" s="55" t="n">
        <v>0.05344</v>
      </c>
    </row>
    <row r="16">
      <c r="A16" s="50" t="inlineStr">
        <is>
          <t>VAGG</t>
        </is>
      </c>
      <c r="B16" s="55" t="n">
        <v>0.13741</v>
      </c>
      <c r="C16" s="55" t="n">
        <v>0.06832000000000001</v>
      </c>
      <c r="D16" s="55" t="n">
        <v>0.03353</v>
      </c>
      <c r="E16" s="55" t="n">
        <v>0.07621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$1,500/mo yr1 per user 2026 update; +20%/yr through yr5, +7%/yr after — anchored to user decade targets: &gt;$5k/mo in 30s, &gt;$7k in 40s, &gt;$10k in 50s),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2026-09-09T13:52:13Z</dcterms:created>
  <dcterms:modified xsi:type="dcterms:W3CDTF">2026-09-09T13:52:13Z</dcterms:modified>
</cp:coreProperties>
</file>