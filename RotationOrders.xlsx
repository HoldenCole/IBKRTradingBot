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ta" sheetId="2" state="visible" r:id="rId2"/>
    <sheet name="Weekly W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-"/>
    <numFmt numFmtId="166" formatCode="+0.0%;-0.0%"/>
    <numFmt numFmtId="167" formatCode="+0.00%;-0.00%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8000"/>
      <sz val="10"/>
    </font>
    <font>
      <name val="Arial"/>
      <color rgb="00595959"/>
      <sz val="9"/>
    </font>
    <font>
      <name val="Arial"/>
      <color rgb="00595959"/>
      <sz val="8"/>
    </font>
    <font>
      <name val="Arial"/>
      <color rgb="000000FF"/>
      <sz val="10"/>
    </font>
    <font>
      <name val="Arial"/>
      <color rgb="00BFBFBF"/>
      <sz val="8"/>
    </font>
    <font>
      <name val="Arial"/>
      <color rgb="00000000"/>
      <sz val="9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164" fontId="8" fillId="3" borderId="1" applyAlignment="1" pivotButton="0" quotePrefix="0" xfId="0">
      <alignment horizontal="center"/>
    </xf>
    <xf numFmtId="0" fontId="7" fillId="0" borderId="0" pivotButton="0" quotePrefix="0" xfId="0"/>
    <xf numFmtId="0" fontId="1" fillId="4" borderId="1" pivotButton="0" quotePrefix="0" xfId="0"/>
    <xf numFmtId="0" fontId="8" fillId="3" borderId="1" pivotButton="0" quotePrefix="0" xfId="0"/>
    <xf numFmtId="164" fontId="8" fillId="3" borderId="1" pivotButton="0" quotePrefix="0" xfId="0"/>
    <xf numFmtId="0" fontId="10" fillId="0" borderId="1" pivotButton="0" quotePrefix="0" xfId="0"/>
    <xf numFmtId="0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11" fillId="0" borderId="0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9" customWidth="1" min="5" max="5"/>
    <col width="11" customWidth="1" min="6" max="6"/>
    <col width="11" customWidth="1" min="7" max="7"/>
    <col width="9" customWidth="1" min="8" max="8"/>
    <col width="20" customWidth="1" min="9" max="9"/>
    <col width="8" customWidth="1" min="11" max="11"/>
    <col width="6" customWidth="1" min="12" max="12"/>
  </cols>
  <sheetData>
    <row r="1">
      <c r="A1" s="1" t="inlineStr">
        <is>
          <t>MONTHLY ORDER SHEET — QUADRANT ROTATION</t>
        </is>
      </c>
    </row>
    <row r="2">
      <c r="A2" s="2">
        <f>"Ledger row: "&amp;Data!$H$1&amp;"  ·  "&amp;Data!$H$2&amp;"  ·  matrix "&amp;Data!$H$3&amp;"  —  regenerate monthly: python -m src.portfolio.orders_workbook"</f>
        <v/>
      </c>
    </row>
    <row r="3">
      <c r="A3" s="3" t="inlineStr">
        <is>
          <t>YELLOW cells are yours: pick the tier, enter total account value, list current holdings (example rows below show the format — overwrite the 0s). Everything else computes. Trade the SELL ALL rows first, then the book.</t>
        </is>
      </c>
    </row>
    <row r="5">
      <c r="A5" s="4" t="inlineStr">
        <is>
          <t>Risk tier</t>
        </is>
      </c>
      <c r="C5" s="5" t="inlineStr">
        <is>
          <t>AGG</t>
        </is>
      </c>
      <c r="K5" s="6" t="inlineStr">
        <is>
          <t>tier idx</t>
        </is>
      </c>
      <c r="L5" s="6">
        <f>MATCH($C$5,{"CONS";"MOD";"AGG";"VAGG"},0)</f>
        <v/>
      </c>
    </row>
    <row r="6">
      <c r="A6" s="4" t="inlineStr">
        <is>
          <t>Total account value ($)</t>
        </is>
      </c>
      <c r="C6" s="7" t="n">
        <v>17500</v>
      </c>
    </row>
    <row r="7">
      <c r="A7" s="8">
        <f> settled cash + market value of current rotation positions</f>
        <v/>
      </c>
    </row>
    <row r="10">
      <c r="A10" s="4" t="inlineStr">
        <is>
          <t>Your current holdings</t>
        </is>
      </c>
      <c r="D10" s="4" t="inlineStr">
        <is>
          <t>This month's target book</t>
        </is>
      </c>
    </row>
    <row r="11">
      <c r="A11" s="9" t="inlineStr">
        <is>
          <t>Ticker</t>
        </is>
      </c>
      <c r="B11" s="9" t="inlineStr">
        <is>
          <t>Value ($)</t>
        </is>
      </c>
      <c r="C11" s="9" t="inlineStr">
        <is>
          <t>Status</t>
        </is>
      </c>
      <c r="D11" s="9" t="inlineStr">
        <is>
          <t>Ticker</t>
        </is>
      </c>
      <c r="E11" s="9" t="inlineStr">
        <is>
          <t>Weight</t>
        </is>
      </c>
      <c r="F11" s="9" t="inlineStr">
        <is>
          <t>Target $</t>
        </is>
      </c>
      <c r="G11" s="9" t="inlineStr">
        <is>
          <t>Held $</t>
        </is>
      </c>
      <c r="H11" s="9" t="inlineStr">
        <is>
          <t>Action</t>
        </is>
      </c>
      <c r="I11" s="9" t="inlineStr">
        <is>
          <t>Trade $ (+buy / −sell)</t>
        </is>
      </c>
    </row>
    <row r="12">
      <c r="A12" s="10" t="inlineStr">
        <is>
          <t>QQQ</t>
        </is>
      </c>
      <c r="B12" s="11" t="n">
        <v>0</v>
      </c>
      <c r="C12" s="12">
        <f>IF($A12="","",IF(COUNTIF($D$12:$D$19,$A12)&gt;0,"in book","SELL ALL"))</f>
        <v/>
      </c>
      <c r="D12" s="13">
        <f>IF(INDEX(Data!$A:$A,1+($L$5-1)*10+1)=0,"",INDEX(Data!$A:$A,1+($L$5-1)*10+1))</f>
        <v/>
      </c>
      <c r="E12" s="14">
        <f>IF($D12="","",INDEX(Data!$B:$B,1+($L$5-1)*10+1))</f>
        <v/>
      </c>
      <c r="F12" s="15">
        <f>IF($D12="","",ROUND(E12*$C$6,0))</f>
        <v/>
      </c>
      <c r="G12" s="15">
        <f>IF($D12="","",SUMIF($A$12:$A$21,$D12,$B$12:$B$21))</f>
        <v/>
      </c>
      <c r="H12" s="13">
        <f>IF($D12="","",IF(F12-G12&gt;0,"BUY",IF((G12-F12)/$C$6&gt;0.05,"SELL","HOLD")))</f>
        <v/>
      </c>
      <c r="I12" s="16">
        <f>IF($D12="","",IF(H12="BUY",F12-G12,IF(H12="SELL",-(G12-F12),0)))</f>
        <v/>
      </c>
    </row>
    <row r="13">
      <c r="A13" s="10" t="inlineStr">
        <is>
          <t>ERX</t>
        </is>
      </c>
      <c r="B13" s="11" t="n">
        <v>0</v>
      </c>
      <c r="C13" s="12">
        <f>IF($A13="","",IF(COUNTIF($D$12:$D$19,$A13)&gt;0,"in book","SELL ALL"))</f>
        <v/>
      </c>
      <c r="D13" s="13">
        <f>IF(INDEX(Data!$A:$A,2+($L$5-1)*10+1)=0,"",INDEX(Data!$A:$A,2+($L$5-1)*10+1))</f>
        <v/>
      </c>
      <c r="E13" s="14">
        <f>IF($D13="","",INDEX(Data!$B:$B,2+($L$5-1)*10+1))</f>
        <v/>
      </c>
      <c r="F13" s="15">
        <f>IF($D13="","",ROUND(E13*$C$6,0))</f>
        <v/>
      </c>
      <c r="G13" s="15">
        <f>IF($D13="","",SUMIF($A$12:$A$21,$D13,$B$12:$B$21))</f>
        <v/>
      </c>
      <c r="H13" s="13">
        <f>IF($D13="","",IF(F13-G13&gt;0,"BUY",IF((G13-F13)/$C$6&gt;0.05,"SELL","HOLD")))</f>
        <v/>
      </c>
      <c r="I13" s="16">
        <f>IF($D13="","",IF(H13="BUY",F13-G13,IF(H13="SELL",-(G13-F13),0)))</f>
        <v/>
      </c>
    </row>
    <row r="14">
      <c r="A14" s="10" t="inlineStr">
        <is>
          <t>GLD</t>
        </is>
      </c>
      <c r="B14" s="11" t="n">
        <v>0</v>
      </c>
      <c r="C14" s="12">
        <f>IF($A14="","",IF(COUNTIF($D$12:$D$19,$A14)&gt;0,"in book","SELL ALL"))</f>
        <v/>
      </c>
      <c r="D14" s="13">
        <f>IF(INDEX(Data!$A:$A,3+($L$5-1)*10+1)=0,"",INDEX(Data!$A:$A,3+($L$5-1)*10+1))</f>
        <v/>
      </c>
      <c r="E14" s="14">
        <f>IF($D14="","",INDEX(Data!$B:$B,3+($L$5-1)*10+1))</f>
        <v/>
      </c>
      <c r="F14" s="15">
        <f>IF($D14="","",ROUND(E14*$C$6,0))</f>
        <v/>
      </c>
      <c r="G14" s="15">
        <f>IF($D14="","",SUMIF($A$12:$A$21,$D14,$B$12:$B$21))</f>
        <v/>
      </c>
      <c r="H14" s="13">
        <f>IF($D14="","",IF(F14-G14&gt;0,"BUY",IF((G14-F14)/$C$6&gt;0.05,"SELL","HOLD")))</f>
        <v/>
      </c>
      <c r="I14" s="16">
        <f>IF($D14="","",IF(H14="BUY",F14-G14,IF(H14="SELL",-(G14-F14),0)))</f>
        <v/>
      </c>
    </row>
    <row r="15">
      <c r="A15" s="10" t="inlineStr">
        <is>
          <t>DBC</t>
        </is>
      </c>
      <c r="B15" s="11" t="n">
        <v>0</v>
      </c>
      <c r="C15" s="12">
        <f>IF($A15="","",IF(COUNTIF($D$12:$D$19,$A15)&gt;0,"in book","SELL ALL"))</f>
        <v/>
      </c>
      <c r="D15" s="13">
        <f>IF(INDEX(Data!$A:$A,4+($L$5-1)*10+1)=0,"",INDEX(Data!$A:$A,4+($L$5-1)*10+1))</f>
        <v/>
      </c>
      <c r="E15" s="14">
        <f>IF($D15="","",INDEX(Data!$B:$B,4+($L$5-1)*10+1))</f>
        <v/>
      </c>
      <c r="F15" s="15">
        <f>IF($D15="","",ROUND(E15*$C$6,0))</f>
        <v/>
      </c>
      <c r="G15" s="15">
        <f>IF($D15="","",SUMIF($A$12:$A$21,$D15,$B$12:$B$21))</f>
        <v/>
      </c>
      <c r="H15" s="13">
        <f>IF($D15="","",IF(F15-G15&gt;0,"BUY",IF((G15-F15)/$C$6&gt;0.05,"SELL","HOLD")))</f>
        <v/>
      </c>
      <c r="I15" s="16">
        <f>IF($D15="","",IF(H15="BUY",F15-G15,IF(H15="SELL",-(G15-F15),0)))</f>
        <v/>
      </c>
    </row>
    <row r="16">
      <c r="A16" s="10" t="n"/>
      <c r="B16" s="11" t="n"/>
      <c r="C16" s="12">
        <f>IF($A16="","",IF(COUNTIF($D$12:$D$19,$A16)&gt;0,"in book","SELL ALL"))</f>
        <v/>
      </c>
      <c r="D16" s="13">
        <f>IF(INDEX(Data!$A:$A,5+($L$5-1)*10+1)=0,"",INDEX(Data!$A:$A,5+($L$5-1)*10+1))</f>
        <v/>
      </c>
      <c r="E16" s="14">
        <f>IF($D16="","",INDEX(Data!$B:$B,5+($L$5-1)*10+1))</f>
        <v/>
      </c>
      <c r="F16" s="15">
        <f>IF($D16="","",ROUND(E16*$C$6,0))</f>
        <v/>
      </c>
      <c r="G16" s="15">
        <f>IF($D16="","",SUMIF($A$12:$A$21,$D16,$B$12:$B$21))</f>
        <v/>
      </c>
      <c r="H16" s="13">
        <f>IF($D16="","",IF(F16-G16&gt;0,"BUY",IF((G16-F16)/$C$6&gt;0.05,"SELL","HOLD")))</f>
        <v/>
      </c>
      <c r="I16" s="16">
        <f>IF($D16="","",IF(H16="BUY",F16-G16,IF(H16="SELL",-(G16-F16),0)))</f>
        <v/>
      </c>
    </row>
    <row r="17">
      <c r="A17" s="10" t="n"/>
      <c r="B17" s="11" t="n"/>
      <c r="C17" s="12">
        <f>IF($A17="","",IF(COUNTIF($D$12:$D$19,$A17)&gt;0,"in book","SELL ALL"))</f>
        <v/>
      </c>
      <c r="D17" s="13">
        <f>IF(INDEX(Data!$A:$A,6+($L$5-1)*10+1)=0,"",INDEX(Data!$A:$A,6+($L$5-1)*10+1))</f>
        <v/>
      </c>
      <c r="E17" s="14">
        <f>IF($D17="","",INDEX(Data!$B:$B,6+($L$5-1)*10+1))</f>
        <v/>
      </c>
      <c r="F17" s="15">
        <f>IF($D17="","",ROUND(E17*$C$6,0))</f>
        <v/>
      </c>
      <c r="G17" s="15">
        <f>IF($D17="","",SUMIF($A$12:$A$21,$D17,$B$12:$B$21))</f>
        <v/>
      </c>
      <c r="H17" s="13">
        <f>IF($D17="","",IF(F17-G17&gt;0,"BUY",IF((G17-F17)/$C$6&gt;0.05,"SELL","HOLD")))</f>
        <v/>
      </c>
      <c r="I17" s="16">
        <f>IF($D17="","",IF(H17="BUY",F17-G17,IF(H17="SELL",-(G17-F17),0)))</f>
        <v/>
      </c>
    </row>
    <row r="18">
      <c r="A18" s="10" t="n"/>
      <c r="B18" s="11" t="n"/>
      <c r="C18" s="12">
        <f>IF($A18="","",IF(COUNTIF($D$12:$D$19,$A18)&gt;0,"in book","SELL ALL"))</f>
        <v/>
      </c>
      <c r="D18" s="13">
        <f>IF(INDEX(Data!$A:$A,7+($L$5-1)*10+1)=0,"",INDEX(Data!$A:$A,7+($L$5-1)*10+1))</f>
        <v/>
      </c>
      <c r="E18" s="14">
        <f>IF($D18="","",INDEX(Data!$B:$B,7+($L$5-1)*10+1))</f>
        <v/>
      </c>
      <c r="F18" s="15">
        <f>IF($D18="","",ROUND(E18*$C$6,0))</f>
        <v/>
      </c>
      <c r="G18" s="15">
        <f>IF($D18="","",SUMIF($A$12:$A$21,$D18,$B$12:$B$21))</f>
        <v/>
      </c>
      <c r="H18" s="13">
        <f>IF($D18="","",IF(F18-G18&gt;0,"BUY",IF((G18-F18)/$C$6&gt;0.05,"SELL","HOLD")))</f>
        <v/>
      </c>
      <c r="I18" s="16">
        <f>IF($D18="","",IF(H18="BUY",F18-G18,IF(H18="SELL",-(G18-F18),0)))</f>
        <v/>
      </c>
    </row>
    <row r="19">
      <c r="A19" s="10" t="n"/>
      <c r="B19" s="11" t="n"/>
      <c r="C19" s="12">
        <f>IF($A19="","",IF(COUNTIF($D$12:$D$19,$A19)&gt;0,"in book","SELL ALL"))</f>
        <v/>
      </c>
      <c r="D19" s="13">
        <f>IF(INDEX(Data!$A:$A,8+($L$5-1)*10+1)=0,"",INDEX(Data!$A:$A,8+($L$5-1)*10+1))</f>
        <v/>
      </c>
      <c r="E19" s="14">
        <f>IF($D19="","",INDEX(Data!$B:$B,8+($L$5-1)*10+1))</f>
        <v/>
      </c>
      <c r="F19" s="15">
        <f>IF($D19="","",ROUND(E19*$C$6,0))</f>
        <v/>
      </c>
      <c r="G19" s="15">
        <f>IF($D19="","",SUMIF($A$12:$A$21,$D19,$B$12:$B$21))</f>
        <v/>
      </c>
      <c r="H19" s="13">
        <f>IF($D19="","",IF(F19-G19&gt;0,"BUY",IF((G19-F19)/$C$6&gt;0.05,"SELL","HOLD")))</f>
        <v/>
      </c>
      <c r="I19" s="16">
        <f>IF($D19="","",IF(H19="BUY",F19-G19,IF(H19="SELL",-(G19-F19),0)))</f>
        <v/>
      </c>
    </row>
    <row r="20">
      <c r="A20" s="10" t="n"/>
      <c r="B20" s="11" t="n"/>
      <c r="C20" s="12">
        <f>IF($A20="","",IF(COUNTIF($D$12:$D$19,$A20)&gt;0,"in book","SELL ALL"))</f>
        <v/>
      </c>
      <c r="D20" s="4" t="inlineStr">
        <is>
          <t>Totals</t>
        </is>
      </c>
      <c r="F20" s="17">
        <f>SUM(F12:F19)</f>
        <v/>
      </c>
      <c r="I20" s="18">
        <f>SUM(I12:I19)</f>
        <v/>
      </c>
    </row>
    <row r="21">
      <c r="A21" s="10" t="n"/>
      <c r="B21" s="11" t="n"/>
      <c r="C21" s="12">
        <f>IF($A21="","",IF(COUNTIF($D$12:$D$19,$A21)&gt;0,"in book","SELL ALL"))</f>
        <v/>
      </c>
    </row>
    <row r="23">
      <c r="A23" s="19" t="inlineStr">
        <is>
          <t>Off-book positions to SELL entirely (left table, SELL ALL rows)</t>
        </is>
      </c>
      <c r="C23" s="17">
        <f>SUMPRODUCT(($C$12:$C$21="SELL ALL")*$B$12:$B$21)</f>
        <v/>
      </c>
    </row>
    <row r="24">
      <c r="A24" s="19" t="inlineStr">
        <is>
          <t>Cash remainder after all trades</t>
        </is>
      </c>
      <c r="C24" s="17">
        <f>$C$6-SUM(F12:F19)</f>
        <v/>
      </c>
    </row>
    <row r="26">
      <c r="A26" s="8" t="inlineStr">
        <is>
          <t>Execution: sells first (SELL ALL rows, then book SELLs), then buys. Limit orders near the midpoint; IBKR order entry accepts these dollar amounts directly ('Amount in USD') with fractional shares on. Equity ETFs near the close; never miss a rotation waiting for the right hour (DEPLOYMENT.md).</t>
        </is>
      </c>
    </row>
    <row r="27">
      <c r="A27" s="8" t="inlineStr">
        <is>
          <t>The 5pp drift band is built in: overweights inside the band read HOLD — do not sell them. HOLD/BUY logic matches src/portfolio/order_calc.py, which the automated executor also uses.</t>
        </is>
      </c>
    </row>
  </sheetData>
  <mergeCells count="3">
    <mergeCell ref="A1:I1"/>
    <mergeCell ref="A3:I3"/>
    <mergeCell ref="A2:I2"/>
  </mergeCells>
  <dataValidations count="1">
    <dataValidation sqref="C5" showDropDown="0" showInputMessage="0" showErrorMessage="0" allowBlank="0" type="list">
      <formula1>"CONS,MOD,AGG,VAGG"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CONS</t>
        </is>
      </c>
      <c r="G1" s="20" t="inlineStr">
        <is>
          <t>Month</t>
        </is>
      </c>
      <c r="H1" t="inlineStr">
        <is>
          <t>2026-10</t>
        </is>
      </c>
    </row>
    <row r="2">
      <c r="A2" s="19" t="inlineStr">
        <is>
          <t>SPY</t>
        </is>
      </c>
      <c r="B2" s="21" t="n">
        <v>0.21</v>
      </c>
      <c r="G2" s="20" t="inlineStr">
        <is>
          <t>Quadrant</t>
        </is>
      </c>
      <c r="H2" t="inlineStr">
        <is>
          <t>REFLATION</t>
        </is>
      </c>
    </row>
    <row r="3">
      <c r="A3" s="19" t="inlineStr">
        <is>
          <t>XLE</t>
        </is>
      </c>
      <c r="B3" s="21" t="n">
        <v>0.1593</v>
      </c>
      <c r="G3" s="20" t="inlineStr">
        <is>
          <t>Matrix</t>
        </is>
      </c>
      <c r="H3" t="inlineStr">
        <is>
          <t>v9 (restated from logged signals)</t>
        </is>
      </c>
    </row>
    <row r="4">
      <c r="A4" s="19" t="inlineStr">
        <is>
          <t>GLD</t>
        </is>
      </c>
      <c r="B4" s="21" t="n">
        <v>0.1103</v>
      </c>
    </row>
    <row r="5">
      <c r="A5" s="19" t="inlineStr">
        <is>
          <t>DBC</t>
        </is>
      </c>
      <c r="B5" s="21" t="n">
        <v>0.2205</v>
      </c>
    </row>
    <row r="6">
      <c r="A6" s="19" t="inlineStr">
        <is>
          <t>SHY</t>
        </is>
      </c>
      <c r="B6" s="21" t="n">
        <v>0.3</v>
      </c>
    </row>
    <row r="11">
      <c r="A11" s="4" t="inlineStr">
        <is>
          <t>MOD</t>
        </is>
      </c>
    </row>
    <row r="12">
      <c r="A12" s="19" t="inlineStr">
        <is>
          <t>SPY</t>
        </is>
      </c>
      <c r="B12" s="21" t="n">
        <v>0.3</v>
      </c>
    </row>
    <row r="13">
      <c r="A13" s="19" t="inlineStr">
        <is>
          <t>XLE</t>
        </is>
      </c>
      <c r="B13" s="21" t="n">
        <v>0.2275</v>
      </c>
    </row>
    <row r="14">
      <c r="A14" s="19" t="inlineStr">
        <is>
          <t>GLD</t>
        </is>
      </c>
      <c r="B14" s="21" t="n">
        <v>0.1575</v>
      </c>
    </row>
    <row r="15">
      <c r="A15" s="19" t="inlineStr">
        <is>
          <t>DBC</t>
        </is>
      </c>
      <c r="B15" s="21" t="n">
        <v>0.315</v>
      </c>
    </row>
    <row r="21">
      <c r="A21" s="4" t="inlineStr">
        <is>
          <t>AGG</t>
        </is>
      </c>
    </row>
    <row r="22">
      <c r="A22" s="19" t="inlineStr">
        <is>
          <t>QQQ</t>
        </is>
      </c>
      <c r="B22" s="21" t="n">
        <v>0.3</v>
      </c>
    </row>
    <row r="23">
      <c r="A23" s="19" t="inlineStr">
        <is>
          <t>ERX</t>
        </is>
      </c>
      <c r="B23" s="21" t="n">
        <v>0.2275</v>
      </c>
    </row>
    <row r="24">
      <c r="A24" s="19" t="inlineStr">
        <is>
          <t>GLD</t>
        </is>
      </c>
      <c r="B24" s="21" t="n">
        <v>0.1575</v>
      </c>
    </row>
    <row r="25">
      <c r="A25" s="19" t="inlineStr">
        <is>
          <t>DBC</t>
        </is>
      </c>
      <c r="B25" s="21" t="n">
        <v>0.315</v>
      </c>
    </row>
    <row r="31">
      <c r="A31" s="4" t="inlineStr">
        <is>
          <t>VAGG</t>
        </is>
      </c>
    </row>
    <row r="32">
      <c r="A32" s="19" t="inlineStr">
        <is>
          <t>TQQQ</t>
        </is>
      </c>
      <c r="B32" s="21" t="n">
        <v>0.3</v>
      </c>
    </row>
    <row r="33">
      <c r="A33" s="19" t="inlineStr">
        <is>
          <t>ERX</t>
        </is>
      </c>
      <c r="B33" s="21" t="n">
        <v>0.2275</v>
      </c>
    </row>
    <row r="34">
      <c r="A34" s="19" t="inlineStr">
        <is>
          <t>GLD</t>
        </is>
      </c>
      <c r="B34" s="21" t="n">
        <v>0.1575</v>
      </c>
    </row>
    <row r="35">
      <c r="A35" s="19" t="inlineStr">
        <is>
          <t>DBC</t>
        </is>
      </c>
      <c r="B35" s="21" t="n">
        <v>0.315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3" customWidth="1" min="4" max="4"/>
    <col width="12" customWidth="1" min="5" max="5"/>
    <col width="11" customWidth="1" min="6" max="6"/>
  </cols>
  <sheetData>
    <row r="1">
      <c r="A1" s="22" t="inlineStr">
        <is>
          <t>WEEKLY REGIME WATCH — informational, trades nothing</t>
        </is>
      </c>
    </row>
    <row r="2">
      <c r="A2" s="8" t="inlineStr">
        <is>
          <t>Distance of each price to its regime boundary (mean of the prior 9 completed monthly closes). Provisional = quadrant if the month ended that day. Only the monthly ledger row rotates money (TESTS.md entry 67).</t>
        </is>
      </c>
    </row>
    <row r="4">
      <c r="A4" s="9" t="inlineStr">
        <is>
          <t>Date (UTC)</t>
        </is>
      </c>
      <c r="B4" s="9" t="inlineStr">
        <is>
          <t>SPY vs growth line</t>
        </is>
      </c>
      <c r="C4" s="9" t="inlineStr">
        <is>
          <t>DBC vs inflation line</t>
        </is>
      </c>
      <c r="D4" s="9" t="inlineStr">
        <is>
          <t>Provisional</t>
        </is>
      </c>
      <c r="E4" s="9" t="inlineStr">
        <is>
          <t>In force</t>
        </is>
      </c>
      <c r="F4" s="9" t="inlineStr">
        <is>
          <t>Divergence</t>
        </is>
      </c>
    </row>
    <row r="5">
      <c r="A5" s="13" t="inlineStr">
        <is>
          <t>2026-09-03</t>
        </is>
      </c>
      <c r="B5" s="23" t="n">
        <v>0.07099999999999999</v>
      </c>
      <c r="C5" s="23" t="n">
        <v>0.1549</v>
      </c>
      <c r="D5" s="13" t="inlineStr">
        <is>
          <t>REFLATION</t>
        </is>
      </c>
      <c r="E5" s="13" t="inlineStr">
        <is>
          <t>REFLATION</t>
        </is>
      </c>
      <c r="F5" s="13" t="inlineStr">
        <is>
          <t>no</t>
        </is>
      </c>
    </row>
    <row r="6">
      <c r="A6" s="13" t="inlineStr">
        <is>
          <t>2026-09-14</t>
        </is>
      </c>
      <c r="B6" s="23" t="n">
        <v>0.0698</v>
      </c>
      <c r="C6" s="23" t="n">
        <v>0.1994</v>
      </c>
      <c r="D6" s="13" t="inlineStr">
        <is>
          <t>REFLATION</t>
        </is>
      </c>
      <c r="E6" s="13" t="inlineStr">
        <is>
          <t>REFLATION</t>
        </is>
      </c>
      <c r="F6" s="13" t="inlineStr">
        <is>
          <t>no</t>
        </is>
      </c>
    </row>
    <row r="7">
      <c r="A7" s="13" t="inlineStr">
        <is>
          <t>2026-09-21</t>
        </is>
      </c>
      <c r="B7" s="23" t="n">
        <v>0.0688</v>
      </c>
      <c r="C7" s="23" t="n">
        <v>0.1911</v>
      </c>
      <c r="D7" s="13" t="inlineStr">
        <is>
          <t>REFLATION</t>
        </is>
      </c>
      <c r="E7" s="13" t="inlineStr">
        <is>
          <t>REFLATION</t>
        </is>
      </c>
      <c r="F7" s="13" t="inlineStr">
        <is>
          <t>no</t>
        </is>
      </c>
    </row>
    <row r="8">
      <c r="A8" s="13" t="inlineStr">
        <is>
          <t>2026-09-30</t>
        </is>
      </c>
      <c r="B8" s="23" t="n">
        <v>0.0723</v>
      </c>
      <c r="C8" s="23" t="n">
        <v>0.1574</v>
      </c>
      <c r="D8" s="13" t="inlineStr">
        <is>
          <t>REFLATION</t>
        </is>
      </c>
      <c r="E8" s="13" t="inlineStr">
        <is>
          <t>REFLATION</t>
        </is>
      </c>
      <c r="F8" s="13" t="inlineStr">
        <is>
          <t>no</t>
        </is>
      </c>
    </row>
    <row r="9">
      <c r="A9" s="13" t="inlineStr">
        <is>
          <t>2026-10-01</t>
        </is>
      </c>
      <c r="B9" s="23" t="n">
        <v>0.056</v>
      </c>
      <c r="C9" s="23" t="n">
        <v>0.124</v>
      </c>
      <c r="D9" s="13" t="inlineStr">
        <is>
          <t>REFLATION</t>
        </is>
      </c>
      <c r="E9" s="13" t="inlineStr">
        <is>
          <t>REFLATION</t>
        </is>
      </c>
      <c r="F9" s="13" t="inlineStr">
        <is>
          <t>no</t>
        </is>
      </c>
    </row>
    <row r="10">
      <c r="A10" s="13" t="inlineStr">
        <is>
          <t>2026-10-05</t>
        </is>
      </c>
      <c r="B10" s="23" t="n">
        <v>0.06569999999999999</v>
      </c>
      <c r="C10" s="23" t="n">
        <v>0.1317</v>
      </c>
      <c r="D10" s="13" t="inlineStr">
        <is>
          <t>REFLATION</t>
        </is>
      </c>
      <c r="E10" s="13" t="inlineStr">
        <is>
          <t>REFLATION</t>
        </is>
      </c>
      <c r="F10" s="13" t="inlineStr">
        <is>
          <t>no</t>
        </is>
      </c>
    </row>
    <row r="11">
      <c r="A11" s="13" t="inlineStr">
        <is>
          <t>2026-10-12</t>
        </is>
      </c>
      <c r="B11" s="23" t="n">
        <v>0.078</v>
      </c>
      <c r="C11" s="23" t="n">
        <v>0.1463</v>
      </c>
      <c r="D11" s="13" t="inlineStr">
        <is>
          <t>REFLATION</t>
        </is>
      </c>
      <c r="E11" s="13" t="inlineStr">
        <is>
          <t>REFLATION</t>
        </is>
      </c>
      <c r="F11" s="13" t="inlineStr">
        <is>
          <t>no</t>
        </is>
      </c>
    </row>
    <row r="12">
      <c r="A12" s="13" t="inlineStr">
        <is>
          <t>2026-10-19</t>
        </is>
      </c>
      <c r="B12" s="23" t="n">
        <v>0.0568</v>
      </c>
      <c r="C12" s="23" t="n">
        <v>0.1734</v>
      </c>
      <c r="D12" s="13" t="inlineStr">
        <is>
          <t>REFLATION</t>
        </is>
      </c>
      <c r="E12" s="13" t="inlineStr">
        <is>
          <t>REFLATION</t>
        </is>
      </c>
      <c r="F12" s="13" t="inlineStr">
        <is>
          <t>no</t>
        </is>
      </c>
    </row>
    <row r="13">
      <c r="A13" s="13" t="inlineStr">
        <is>
          <t>2026-10-24</t>
        </is>
      </c>
      <c r="B13" s="23" t="n">
        <v>0.0523</v>
      </c>
      <c r="C13" s="23" t="n">
        <v>0.1859</v>
      </c>
      <c r="D13" s="13" t="inlineStr">
        <is>
          <t>REFLATION</t>
        </is>
      </c>
      <c r="E13" s="13" t="inlineStr">
        <is>
          <t>REFLATION</t>
        </is>
      </c>
      <c r="F13" s="13" t="inlineStr">
        <is>
          <t>no</t>
        </is>
      </c>
    </row>
    <row r="16">
      <c r="A16" s="4" t="inlineStr">
        <is>
          <t>Paper ledger mark-to-market (as of 2026-10-24)</t>
        </is>
      </c>
    </row>
    <row r="17">
      <c r="A17" s="9" t="inlineStr">
        <is>
          <t>Tier</t>
        </is>
      </c>
      <c r="B17" s="9" t="inlineStr">
        <is>
          <t>Since</t>
        </is>
      </c>
      <c r="C17" s="9" t="inlineStr">
        <is>
          <t>Return</t>
        </is>
      </c>
      <c r="D17" s="9" t="inlineStr">
        <is>
          <t>Max drawdown</t>
        </is>
      </c>
      <c r="E17" s="9" t="inlineStr">
        <is>
          <t>Trading days</t>
        </is>
      </c>
    </row>
    <row r="18">
      <c r="A18" s="13" t="inlineStr">
        <is>
          <t>CONS</t>
        </is>
      </c>
      <c r="B18" s="13" t="inlineStr">
        <is>
          <t>2026-08-20</t>
        </is>
      </c>
      <c r="C18" s="24" t="n">
        <v>0.01732079494266392</v>
      </c>
      <c r="D18" s="24" t="n">
        <v>-0.02204984823786937</v>
      </c>
      <c r="E18" s="13" t="n">
        <v>45</v>
      </c>
    </row>
    <row r="19">
      <c r="A19" s="13" t="inlineStr">
        <is>
          <t>MOD</t>
        </is>
      </c>
      <c r="B19" s="13" t="inlineStr">
        <is>
          <t>2026-08-20</t>
        </is>
      </c>
      <c r="C19" s="24" t="n">
        <v>0.02478359698872024</v>
      </c>
      <c r="D19" s="24" t="n">
        <v>-0.03063726832854285</v>
      </c>
      <c r="E19" s="13" t="n">
        <v>45</v>
      </c>
    </row>
    <row r="20">
      <c r="A20" s="13" t="inlineStr">
        <is>
          <t>AGG</t>
        </is>
      </c>
      <c r="B20" s="13" t="inlineStr">
        <is>
          <t>2026-08-20</t>
        </is>
      </c>
      <c r="C20" s="24" t="n">
        <v>0.04366982008972542</v>
      </c>
      <c r="D20" s="24" t="n">
        <v>-0.02704464641821624</v>
      </c>
      <c r="E20" s="13" t="n">
        <v>45</v>
      </c>
    </row>
    <row r="21">
      <c r="A21" s="13" t="inlineStr">
        <is>
          <t>VAGG</t>
        </is>
      </c>
      <c r="B21" s="13" t="inlineStr">
        <is>
          <t>2026-08-20</t>
        </is>
      </c>
      <c r="C21" s="24" t="n">
        <v>0.008901791907482304</v>
      </c>
      <c r="D21" s="24" t="n">
        <v>-0.05516467405412073</v>
      </c>
      <c r="E21" s="13" t="n">
        <v>45</v>
      </c>
    </row>
    <row r="22">
      <c r="A22" s="13" t="inlineStr">
        <is>
          <t>SPY (bench)</t>
        </is>
      </c>
      <c r="B22" s="13" t="inlineStr">
        <is>
          <t>2026-08-20</t>
        </is>
      </c>
      <c r="C22" s="24" t="n">
        <v>-0.0009741253031163577</v>
      </c>
      <c r="D22" s="24" t="n">
        <v>-0.02472935182691627</v>
      </c>
      <c r="E22" s="13" t="n">
        <v>45</v>
      </c>
    </row>
    <row r="23">
      <c r="A23" s="8" t="inlineStr">
        <is>
          <t>Daily-rebalanced paper books from each ledger row's logged_at; SPY = buy-and-hold benchmark.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2026-10-24T16:07:22Z</dcterms:created>
  <dcterms:modified xsi:type="dcterms:W3CDTF">2026-10-24T16:07:24Z</dcterms:modified>
</cp:coreProperties>
</file>